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300" windowWidth="20280" windowHeight="3888" activeTab="1"/>
  </bookViews>
  <sheets>
    <sheet name="Welcome" sheetId="1" r:id="rId1"/>
    <sheet name="charts" sheetId="5" r:id="rId2"/>
    <sheet name="Average Daily Wind" sheetId="2" state="hidden" r:id="rId3"/>
    <sheet name="Wind Turbine Specs" sheetId="3" state="hidden" r:id="rId4"/>
    <sheet name="Result Worksheet" sheetId="4" r:id="rId5"/>
  </sheets>
  <definedNames>
    <definedName name="allonoroff" localSheetId="1">'Result Worksheet'!$G$30:$G$43</definedName>
    <definedName name="allonoroff">'Result Worksheet'!$G$30</definedName>
    <definedName name="allprices" localSheetId="1">'Result Worksheet'!$I$30:$I$43</definedName>
    <definedName name="allprices">'Result Worksheet'!$I$30</definedName>
    <definedName name="allsupplies" localSheetId="1">'Result Worksheet'!$J$30:$J$43</definedName>
    <definedName name="allsupplies">'Result Worksheet'!$J$30</definedName>
    <definedName name="coin_cuttype" localSheetId="4" hidden="1">1</definedName>
    <definedName name="coin_dualtol" localSheetId="4" hidden="1">0.0000001</definedName>
    <definedName name="coin_heurs" localSheetId="4" hidden="1">1</definedName>
    <definedName name="coin_integerpresolve" localSheetId="4" hidden="1">1</definedName>
    <definedName name="coin_presolve1" localSheetId="4" hidden="1">1</definedName>
    <definedName name="coin_primaltol" localSheetId="4" hidden="1">0.0000001</definedName>
    <definedName name="initialinvestment">'Result Worksheet'!$J$15</definedName>
    <definedName name="maxoutput">'Result Worksheet'!$H$17</definedName>
    <definedName name="maxprofit">'Result Worksheet'!$L$23</definedName>
    <definedName name="solver_acc" localSheetId="4" hidden="1">0.001</definedName>
    <definedName name="solver_adj" localSheetId="4" hidden="1">'Result Worksheet'!$G$30</definedName>
    <definedName name="solver_ars" localSheetId="4" hidden="1">1</definedName>
    <definedName name="solver_cha" localSheetId="4" hidden="1">0</definedName>
    <definedName name="solver_chn" localSheetId="4" hidden="1">4</definedName>
    <definedName name="solver_cht" localSheetId="4" hidden="1">0</definedName>
    <definedName name="solver_con1" localSheetId="4" hidden="1">" "</definedName>
    <definedName name="solver_con2" localSheetId="4" hidden="1">" "</definedName>
    <definedName name="solver_cvg" localSheetId="4" hidden="1">0.0001</definedName>
    <definedName name="solver_dia" localSheetId="4" hidden="1">5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fea" localSheetId="4" hidden="1">0.000001</definedName>
    <definedName name="solver_fns" localSheetId="4" hidden="1">0</definedName>
    <definedName name="solver_gap" localSheetId="4" hidden="1">0.0000001</definedName>
    <definedName name="solver_glb" localSheetId="4" hidden="1">-1E+30</definedName>
    <definedName name="solver_gub" localSheetId="4" hidden="1">1E+30</definedName>
    <definedName name="solver_iao" localSheetId="4" hidden="1">0</definedName>
    <definedName name="solver_inc" localSheetId="4" hidden="1">0</definedName>
    <definedName name="solver_int" localSheetId="4" hidden="1">1</definedName>
    <definedName name="solver_ipd" localSheetId="4" hidden="1">3</definedName>
    <definedName name="solver_ipi" localSheetId="4" hidden="1">1</definedName>
    <definedName name="solver_ips" localSheetId="4" hidden="1">0.99</definedName>
    <definedName name="solver_irs" localSheetId="4" hidden="1">0</definedName>
    <definedName name="solver_ism" localSheetId="4" hidden="1">0</definedName>
    <definedName name="solver_itr" localSheetId="4" hidden="1">2147483647</definedName>
    <definedName name="solver_lhs1" localSheetId="4" hidden="1">'Result Worksheet'!$G$30</definedName>
    <definedName name="solver_lhs2" localSheetId="4" hidden="1">'Result Worksheet'!$H$26</definedName>
    <definedName name="solver_lin" localSheetId="4" hidden="1">1</definedName>
    <definedName name="solver_loc" localSheetId="4" hidden="1">4</definedName>
    <definedName name="solver_log" localSheetId="4" hidden="1">0</definedName>
    <definedName name="solver_lpp" localSheetId="4" hidden="1">0</definedName>
    <definedName name="solver_lpt" localSheetId="4" hidden="1">0</definedName>
    <definedName name="solver_lva" localSheetId="4" hidden="1">0</definedName>
    <definedName name="solver_mda" localSheetId="4" hidden="1">4</definedName>
    <definedName name="solver_met" localSheetId="4" hidden="1">1</definedName>
    <definedName name="solver_mip" localSheetId="4" hidden="1">2147483647</definedName>
    <definedName name="solver_mni" localSheetId="4" hidden="1">30</definedName>
    <definedName name="solver_mod" localSheetId="4" hidden="1">3</definedName>
    <definedName name="solver_mrt" localSheetId="4" hidden="1">0.075</definedName>
    <definedName name="solver_msl" localSheetId="4" hidden="1">0</definedName>
    <definedName name="solver_neg" localSheetId="4" hidden="1">1</definedName>
    <definedName name="solver_nod" localSheetId="4" hidden="1">2147483647</definedName>
    <definedName name="solver_ntr" localSheetId="4" hidden="1">0</definedName>
    <definedName name="solver_ntri" hidden="1">1000</definedName>
    <definedName name="solver_num" localSheetId="4" hidden="1">2</definedName>
    <definedName name="solver_nwt" localSheetId="4" hidden="1">1</definedName>
    <definedName name="solver_opt" localSheetId="4" hidden="1">'Result Worksheet'!$L$23</definedName>
    <definedName name="solver_pre" localSheetId="4" hidden="1">0.000001</definedName>
    <definedName name="solver_psi" localSheetId="4" hidden="1">0</definedName>
    <definedName name="solver_rbv" localSheetId="4" hidden="1">1</definedName>
    <definedName name="solver_rdp" localSheetId="4" hidden="1">1</definedName>
    <definedName name="solver_rel1" localSheetId="4" hidden="1">5</definedName>
    <definedName name="solver_rel2" localSheetId="4" hidden="1">1</definedName>
    <definedName name="solver_rep" localSheetId="4" hidden="1">0</definedName>
    <definedName name="solver_res" localSheetId="4" hidden="1">0.05</definedName>
    <definedName name="solver_rhs1" localSheetId="4" hidden="1">binary</definedName>
    <definedName name="solver_rhs2" localSheetId="4" hidden="1">719517.886490066</definedName>
    <definedName name="solver_rlx" localSheetId="4" hidden="1">0</definedName>
    <definedName name="solver_rsmp" hidden="1">2</definedName>
    <definedName name="solver_rtr" localSheetId="4" hidden="1">0</definedName>
    <definedName name="solver_scl" localSheetId="4" hidden="1">0</definedName>
    <definedName name="solver_seed" hidden="1">0</definedName>
    <definedName name="solver_sel" localSheetId="4" hidden="1">1</definedName>
    <definedName name="solver_sho" localSheetId="4" hidden="1">0</definedName>
    <definedName name="solver_slv" localSheetId="4" hidden="1">0</definedName>
    <definedName name="solver_slvu" localSheetId="4" hidden="1">0</definedName>
    <definedName name="solver_soc" localSheetId="4" hidden="1">0</definedName>
    <definedName name="solver_ssz" localSheetId="4" hidden="1">0</definedName>
    <definedName name="solver_sta" localSheetId="4" hidden="1">0</definedName>
    <definedName name="solver_tim" localSheetId="4" hidden="1">2147483647</definedName>
    <definedName name="solver_tms" localSheetId="4" hidden="1">0</definedName>
    <definedName name="solver_tol" localSheetId="4" hidden="1">0</definedName>
    <definedName name="solver_typ" localSheetId="4" hidden="1">1</definedName>
    <definedName name="solver_ubigm" localSheetId="4" hidden="1">1000000</definedName>
    <definedName name="solver_umod" localSheetId="4" hidden="1">3</definedName>
    <definedName name="solver_urs" localSheetId="4" hidden="1">0</definedName>
    <definedName name="solver_val" localSheetId="4" hidden="1">0</definedName>
    <definedName name="solver_var" localSheetId="4" hidden="1">" "</definedName>
    <definedName name="solver_ver" localSheetId="4" hidden="1">3</definedName>
    <definedName name="solver_vol" localSheetId="4" hidden="1">0</definedName>
    <definedName name="totaloutput">'Result Worksheet'!$J$26</definedName>
    <definedName name="totalsupply">'Result Worksheet'!$H$26</definedName>
    <definedName name="turbinecost">'Result Worksheet'!$H$15</definedName>
    <definedName name="turbineqty">'Result Worksheet'!$J$8:$J$12</definedName>
    <definedName name="Wind_Data" localSheetId="2">'Average Daily Wind'!$A$1:$Q$241</definedName>
    <definedName name="Wind_Data_1" localSheetId="2">'Average Daily Wind'!$A$1:$Q$238</definedName>
  </definedNames>
  <calcPr calcId="144525"/>
</workbook>
</file>

<file path=xl/calcChain.xml><?xml version="1.0" encoding="utf-8"?>
<calcChain xmlns="http://schemas.openxmlformats.org/spreadsheetml/2006/main">
  <c r="L23" i="4" l="1"/>
  <c r="J30" i="4"/>
  <c r="H26" i="4" s="1"/>
  <c r="Y238" i="2" l="1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X4" i="2" l="1"/>
  <c r="U4" i="2" s="1"/>
  <c r="X5" i="2"/>
  <c r="U5" i="2" s="1"/>
  <c r="X6" i="2"/>
  <c r="U6" i="2" s="1"/>
  <c r="X7" i="2"/>
  <c r="U7" i="2" s="1"/>
  <c r="X8" i="2"/>
  <c r="U8" i="2" s="1"/>
  <c r="X9" i="2"/>
  <c r="U9" i="2" s="1"/>
  <c r="X10" i="2"/>
  <c r="U10" i="2" s="1"/>
  <c r="X11" i="2"/>
  <c r="U11" i="2" s="1"/>
  <c r="X12" i="2"/>
  <c r="U12" i="2" s="1"/>
  <c r="X13" i="2"/>
  <c r="U13" i="2" s="1"/>
  <c r="X14" i="2"/>
  <c r="U14" i="2" s="1"/>
  <c r="X15" i="2"/>
  <c r="U15" i="2" s="1"/>
  <c r="X16" i="2"/>
  <c r="U16" i="2" s="1"/>
  <c r="X17" i="2"/>
  <c r="U17" i="2" s="1"/>
  <c r="X18" i="2"/>
  <c r="U18" i="2" s="1"/>
  <c r="X19" i="2"/>
  <c r="U19" i="2" s="1"/>
  <c r="X20" i="2"/>
  <c r="U20" i="2" s="1"/>
  <c r="X21" i="2"/>
  <c r="U21" i="2" s="1"/>
  <c r="X22" i="2"/>
  <c r="U22" i="2" s="1"/>
  <c r="X23" i="2"/>
  <c r="U23" i="2" s="1"/>
  <c r="X24" i="2"/>
  <c r="U24" i="2" s="1"/>
  <c r="X25" i="2"/>
  <c r="U25" i="2" s="1"/>
  <c r="X26" i="2"/>
  <c r="U26" i="2" s="1"/>
  <c r="X27" i="2"/>
  <c r="U27" i="2" s="1"/>
  <c r="X28" i="2"/>
  <c r="U28" i="2" s="1"/>
  <c r="X29" i="2"/>
  <c r="U29" i="2" s="1"/>
  <c r="X30" i="2"/>
  <c r="U30" i="2" s="1"/>
  <c r="X31" i="2"/>
  <c r="U31" i="2" s="1"/>
  <c r="X32" i="2"/>
  <c r="U32" i="2" s="1"/>
  <c r="X33" i="2"/>
  <c r="U33" i="2" s="1"/>
  <c r="X34" i="2"/>
  <c r="U34" i="2" s="1"/>
  <c r="X35" i="2"/>
  <c r="U35" i="2" s="1"/>
  <c r="X36" i="2"/>
  <c r="U36" i="2" s="1"/>
  <c r="X37" i="2"/>
  <c r="U37" i="2" s="1"/>
  <c r="X38" i="2"/>
  <c r="U38" i="2" s="1"/>
  <c r="X39" i="2"/>
  <c r="U39" i="2" s="1"/>
  <c r="X40" i="2"/>
  <c r="U40" i="2" s="1"/>
  <c r="X41" i="2"/>
  <c r="U41" i="2" s="1"/>
  <c r="X42" i="2"/>
  <c r="U42" i="2" s="1"/>
  <c r="X43" i="2"/>
  <c r="U43" i="2" s="1"/>
  <c r="X44" i="2"/>
  <c r="U44" i="2" s="1"/>
  <c r="X45" i="2"/>
  <c r="U45" i="2" s="1"/>
  <c r="X46" i="2"/>
  <c r="U46" i="2" s="1"/>
  <c r="X47" i="2"/>
  <c r="U47" i="2" s="1"/>
  <c r="X48" i="2"/>
  <c r="U48" i="2" s="1"/>
  <c r="X49" i="2"/>
  <c r="U49" i="2" s="1"/>
  <c r="X50" i="2"/>
  <c r="U50" i="2" s="1"/>
  <c r="X51" i="2"/>
  <c r="U51" i="2" s="1"/>
  <c r="X52" i="2"/>
  <c r="U52" i="2" s="1"/>
  <c r="X53" i="2"/>
  <c r="U53" i="2" s="1"/>
  <c r="X54" i="2"/>
  <c r="U54" i="2" s="1"/>
  <c r="X55" i="2"/>
  <c r="U55" i="2" s="1"/>
  <c r="X56" i="2"/>
  <c r="U56" i="2" s="1"/>
  <c r="X57" i="2"/>
  <c r="U57" i="2" s="1"/>
  <c r="X58" i="2"/>
  <c r="U58" i="2" s="1"/>
  <c r="X59" i="2"/>
  <c r="U59" i="2" s="1"/>
  <c r="X60" i="2"/>
  <c r="U60" i="2" s="1"/>
  <c r="X61" i="2"/>
  <c r="U61" i="2" s="1"/>
  <c r="X62" i="2"/>
  <c r="U62" i="2" s="1"/>
  <c r="X63" i="2"/>
  <c r="U63" i="2" s="1"/>
  <c r="X64" i="2"/>
  <c r="U64" i="2" s="1"/>
  <c r="X65" i="2"/>
  <c r="U65" i="2" s="1"/>
  <c r="X66" i="2"/>
  <c r="U66" i="2" s="1"/>
  <c r="X67" i="2"/>
  <c r="U67" i="2" s="1"/>
  <c r="X68" i="2"/>
  <c r="U68" i="2" s="1"/>
  <c r="X69" i="2"/>
  <c r="U69" i="2" s="1"/>
  <c r="X70" i="2"/>
  <c r="U70" i="2" s="1"/>
  <c r="X71" i="2"/>
  <c r="U71" i="2" s="1"/>
  <c r="X72" i="2"/>
  <c r="U72" i="2" s="1"/>
  <c r="X73" i="2"/>
  <c r="U73" i="2" s="1"/>
  <c r="X74" i="2"/>
  <c r="U74" i="2" s="1"/>
  <c r="X75" i="2"/>
  <c r="U75" i="2" s="1"/>
  <c r="X76" i="2"/>
  <c r="U76" i="2" s="1"/>
  <c r="X77" i="2"/>
  <c r="U77" i="2" s="1"/>
  <c r="X78" i="2"/>
  <c r="U78" i="2" s="1"/>
  <c r="X79" i="2"/>
  <c r="U79" i="2" s="1"/>
  <c r="X80" i="2"/>
  <c r="U80" i="2" s="1"/>
  <c r="X81" i="2"/>
  <c r="U81" i="2" s="1"/>
  <c r="X82" i="2"/>
  <c r="U82" i="2" s="1"/>
  <c r="X83" i="2"/>
  <c r="U83" i="2" s="1"/>
  <c r="X84" i="2"/>
  <c r="U84" i="2" s="1"/>
  <c r="X85" i="2"/>
  <c r="U85" i="2" s="1"/>
  <c r="X86" i="2"/>
  <c r="U86" i="2" s="1"/>
  <c r="X87" i="2"/>
  <c r="U87" i="2" s="1"/>
  <c r="X88" i="2"/>
  <c r="U88" i="2" s="1"/>
  <c r="X89" i="2"/>
  <c r="U89" i="2" s="1"/>
  <c r="X90" i="2"/>
  <c r="U90" i="2" s="1"/>
  <c r="X91" i="2"/>
  <c r="U91" i="2" s="1"/>
  <c r="X92" i="2"/>
  <c r="U92" i="2" s="1"/>
  <c r="X93" i="2"/>
  <c r="U93" i="2" s="1"/>
  <c r="X94" i="2"/>
  <c r="U94" i="2" s="1"/>
  <c r="X95" i="2"/>
  <c r="U95" i="2" s="1"/>
  <c r="X96" i="2"/>
  <c r="U96" i="2" s="1"/>
  <c r="X97" i="2"/>
  <c r="U97" i="2" s="1"/>
  <c r="X98" i="2"/>
  <c r="U98" i="2" s="1"/>
  <c r="X99" i="2"/>
  <c r="U99" i="2" s="1"/>
  <c r="X100" i="2"/>
  <c r="U100" i="2" s="1"/>
  <c r="X101" i="2"/>
  <c r="U101" i="2" s="1"/>
  <c r="X102" i="2"/>
  <c r="U102" i="2" s="1"/>
  <c r="X103" i="2"/>
  <c r="U103" i="2" s="1"/>
  <c r="X104" i="2"/>
  <c r="U104" i="2" s="1"/>
  <c r="X105" i="2"/>
  <c r="U105" i="2" s="1"/>
  <c r="X106" i="2"/>
  <c r="U106" i="2" s="1"/>
  <c r="X107" i="2"/>
  <c r="U107" i="2" s="1"/>
  <c r="X108" i="2"/>
  <c r="U108" i="2" s="1"/>
  <c r="X109" i="2"/>
  <c r="U109" i="2" s="1"/>
  <c r="X110" i="2"/>
  <c r="U110" i="2" s="1"/>
  <c r="X111" i="2"/>
  <c r="U111" i="2" s="1"/>
  <c r="X112" i="2"/>
  <c r="U112" i="2" s="1"/>
  <c r="X113" i="2"/>
  <c r="U113" i="2" s="1"/>
  <c r="X114" i="2"/>
  <c r="U114" i="2" s="1"/>
  <c r="X115" i="2"/>
  <c r="U115" i="2" s="1"/>
  <c r="X116" i="2"/>
  <c r="U116" i="2" s="1"/>
  <c r="X117" i="2"/>
  <c r="U117" i="2" s="1"/>
  <c r="X118" i="2"/>
  <c r="U118" i="2" s="1"/>
  <c r="X119" i="2"/>
  <c r="U119" i="2" s="1"/>
  <c r="X120" i="2"/>
  <c r="U120" i="2" s="1"/>
  <c r="X121" i="2"/>
  <c r="U121" i="2" s="1"/>
  <c r="X122" i="2"/>
  <c r="U122" i="2" s="1"/>
  <c r="X123" i="2"/>
  <c r="U123" i="2" s="1"/>
  <c r="X124" i="2"/>
  <c r="U124" i="2" s="1"/>
  <c r="X125" i="2"/>
  <c r="U125" i="2" s="1"/>
  <c r="X126" i="2"/>
  <c r="U126" i="2" s="1"/>
  <c r="X127" i="2"/>
  <c r="U127" i="2" s="1"/>
  <c r="X128" i="2"/>
  <c r="U128" i="2" s="1"/>
  <c r="X129" i="2"/>
  <c r="U129" i="2" s="1"/>
  <c r="X130" i="2"/>
  <c r="U130" i="2" s="1"/>
  <c r="X131" i="2"/>
  <c r="U131" i="2" s="1"/>
  <c r="X132" i="2"/>
  <c r="U132" i="2" s="1"/>
  <c r="X133" i="2"/>
  <c r="U133" i="2" s="1"/>
  <c r="X134" i="2"/>
  <c r="U134" i="2" s="1"/>
  <c r="X135" i="2"/>
  <c r="U135" i="2" s="1"/>
  <c r="X136" i="2"/>
  <c r="U136" i="2" s="1"/>
  <c r="X137" i="2"/>
  <c r="U137" i="2" s="1"/>
  <c r="X138" i="2"/>
  <c r="U138" i="2" s="1"/>
  <c r="X139" i="2"/>
  <c r="U139" i="2" s="1"/>
  <c r="X140" i="2"/>
  <c r="U140" i="2" s="1"/>
  <c r="X141" i="2"/>
  <c r="U141" i="2" s="1"/>
  <c r="X142" i="2"/>
  <c r="U142" i="2" s="1"/>
  <c r="X143" i="2"/>
  <c r="U143" i="2" s="1"/>
  <c r="X144" i="2"/>
  <c r="U144" i="2" s="1"/>
  <c r="X145" i="2"/>
  <c r="U145" i="2" s="1"/>
  <c r="X146" i="2"/>
  <c r="U146" i="2" s="1"/>
  <c r="X147" i="2"/>
  <c r="U147" i="2" s="1"/>
  <c r="X148" i="2"/>
  <c r="U148" i="2" s="1"/>
  <c r="X149" i="2"/>
  <c r="U149" i="2" s="1"/>
  <c r="X150" i="2"/>
  <c r="U150" i="2" s="1"/>
  <c r="X151" i="2"/>
  <c r="U151" i="2" s="1"/>
  <c r="X152" i="2"/>
  <c r="U152" i="2" s="1"/>
  <c r="X153" i="2"/>
  <c r="U153" i="2" s="1"/>
  <c r="X154" i="2"/>
  <c r="U154" i="2" s="1"/>
  <c r="X155" i="2"/>
  <c r="U155" i="2" s="1"/>
  <c r="X156" i="2"/>
  <c r="U156" i="2" s="1"/>
  <c r="X157" i="2"/>
  <c r="U157" i="2" s="1"/>
  <c r="X158" i="2"/>
  <c r="U158" i="2" s="1"/>
  <c r="X159" i="2"/>
  <c r="U159" i="2" s="1"/>
  <c r="X160" i="2"/>
  <c r="U160" i="2" s="1"/>
  <c r="X161" i="2"/>
  <c r="U161" i="2" s="1"/>
  <c r="X162" i="2"/>
  <c r="U162" i="2" s="1"/>
  <c r="X163" i="2"/>
  <c r="U163" i="2" s="1"/>
  <c r="X164" i="2"/>
  <c r="U164" i="2" s="1"/>
  <c r="X165" i="2"/>
  <c r="U165" i="2" s="1"/>
  <c r="X166" i="2"/>
  <c r="U166" i="2" s="1"/>
  <c r="X167" i="2"/>
  <c r="U167" i="2" s="1"/>
  <c r="X168" i="2"/>
  <c r="U168" i="2" s="1"/>
  <c r="X169" i="2"/>
  <c r="U169" i="2" s="1"/>
  <c r="X170" i="2"/>
  <c r="U170" i="2" s="1"/>
  <c r="X171" i="2"/>
  <c r="U171" i="2" s="1"/>
  <c r="X172" i="2"/>
  <c r="U172" i="2" s="1"/>
  <c r="X173" i="2"/>
  <c r="U173" i="2" s="1"/>
  <c r="X174" i="2"/>
  <c r="U174" i="2" s="1"/>
  <c r="X175" i="2"/>
  <c r="U175" i="2" s="1"/>
  <c r="X176" i="2"/>
  <c r="U176" i="2" s="1"/>
  <c r="X177" i="2"/>
  <c r="U177" i="2" s="1"/>
  <c r="X178" i="2"/>
  <c r="U178" i="2" s="1"/>
  <c r="X179" i="2"/>
  <c r="U179" i="2" s="1"/>
  <c r="X180" i="2"/>
  <c r="U180" i="2" s="1"/>
  <c r="X181" i="2"/>
  <c r="U181" i="2" s="1"/>
  <c r="X182" i="2"/>
  <c r="U182" i="2" s="1"/>
  <c r="X183" i="2"/>
  <c r="U183" i="2" s="1"/>
  <c r="X184" i="2"/>
  <c r="U184" i="2" s="1"/>
  <c r="X185" i="2"/>
  <c r="U185" i="2" s="1"/>
  <c r="X186" i="2"/>
  <c r="U186" i="2" s="1"/>
  <c r="X187" i="2"/>
  <c r="U187" i="2" s="1"/>
  <c r="X188" i="2"/>
  <c r="U188" i="2" s="1"/>
  <c r="X189" i="2"/>
  <c r="U189" i="2" s="1"/>
  <c r="X190" i="2"/>
  <c r="U190" i="2" s="1"/>
  <c r="X191" i="2"/>
  <c r="U191" i="2" s="1"/>
  <c r="X192" i="2"/>
  <c r="U192" i="2" s="1"/>
  <c r="X193" i="2"/>
  <c r="U193" i="2" s="1"/>
  <c r="X194" i="2"/>
  <c r="U194" i="2" s="1"/>
  <c r="X195" i="2"/>
  <c r="U195" i="2" s="1"/>
  <c r="X196" i="2"/>
  <c r="U196" i="2" s="1"/>
  <c r="X197" i="2"/>
  <c r="U197" i="2" s="1"/>
  <c r="X198" i="2"/>
  <c r="U198" i="2" s="1"/>
  <c r="X199" i="2"/>
  <c r="U199" i="2" s="1"/>
  <c r="X200" i="2"/>
  <c r="U200" i="2" s="1"/>
  <c r="X201" i="2"/>
  <c r="U201" i="2" s="1"/>
  <c r="X202" i="2"/>
  <c r="U202" i="2" s="1"/>
  <c r="X203" i="2"/>
  <c r="U203" i="2" s="1"/>
  <c r="X204" i="2"/>
  <c r="U204" i="2" s="1"/>
  <c r="X205" i="2"/>
  <c r="U205" i="2" s="1"/>
  <c r="X206" i="2"/>
  <c r="U206" i="2" s="1"/>
  <c r="X207" i="2"/>
  <c r="U207" i="2" s="1"/>
  <c r="X208" i="2"/>
  <c r="U208" i="2" s="1"/>
  <c r="X209" i="2"/>
  <c r="U209" i="2" s="1"/>
  <c r="X210" i="2"/>
  <c r="U210" i="2" s="1"/>
  <c r="X211" i="2"/>
  <c r="U211" i="2" s="1"/>
  <c r="X212" i="2"/>
  <c r="U212" i="2" s="1"/>
  <c r="X213" i="2"/>
  <c r="U213" i="2" s="1"/>
  <c r="X214" i="2"/>
  <c r="U214" i="2" s="1"/>
  <c r="X215" i="2"/>
  <c r="U215" i="2" s="1"/>
  <c r="X216" i="2"/>
  <c r="U216" i="2" s="1"/>
  <c r="X217" i="2"/>
  <c r="U217" i="2" s="1"/>
  <c r="X218" i="2"/>
  <c r="U218" i="2" s="1"/>
  <c r="X219" i="2"/>
  <c r="U219" i="2" s="1"/>
  <c r="X220" i="2"/>
  <c r="U220" i="2" s="1"/>
  <c r="X221" i="2"/>
  <c r="U221" i="2" s="1"/>
  <c r="X222" i="2"/>
  <c r="U222" i="2" s="1"/>
  <c r="X223" i="2"/>
  <c r="U223" i="2" s="1"/>
  <c r="X224" i="2"/>
  <c r="U224" i="2" s="1"/>
  <c r="X225" i="2"/>
  <c r="U225" i="2" s="1"/>
  <c r="X226" i="2"/>
  <c r="U226" i="2" s="1"/>
  <c r="X227" i="2"/>
  <c r="U227" i="2" s="1"/>
  <c r="X228" i="2"/>
  <c r="U228" i="2" s="1"/>
  <c r="X229" i="2"/>
  <c r="U229" i="2" s="1"/>
  <c r="X230" i="2"/>
  <c r="U230" i="2" s="1"/>
  <c r="X231" i="2"/>
  <c r="U231" i="2" s="1"/>
  <c r="X232" i="2"/>
  <c r="U232" i="2" s="1"/>
  <c r="X233" i="2"/>
  <c r="U233" i="2" s="1"/>
  <c r="X234" i="2"/>
  <c r="U234" i="2" s="1"/>
  <c r="X235" i="2"/>
  <c r="U235" i="2" s="1"/>
  <c r="X236" i="2"/>
  <c r="U236" i="2" s="1"/>
  <c r="X237" i="2"/>
  <c r="U237" i="2" s="1"/>
  <c r="X238" i="2"/>
  <c r="U238" i="2" s="1"/>
  <c r="X3" i="2"/>
  <c r="U3" i="2" s="1"/>
  <c r="I8" i="4"/>
  <c r="H23" i="4"/>
  <c r="J15" i="4"/>
  <c r="H15" i="4"/>
  <c r="L12" i="4"/>
  <c r="I12" i="4"/>
  <c r="L11" i="4"/>
  <c r="I11" i="4"/>
  <c r="L10" i="4"/>
  <c r="I10" i="4"/>
  <c r="L9" i="4"/>
  <c r="I9" i="4"/>
  <c r="L8" i="4"/>
  <c r="E4" i="3"/>
  <c r="E2" i="3"/>
  <c r="D4" i="3"/>
  <c r="D5" i="3"/>
  <c r="D6" i="3"/>
  <c r="D3" i="3"/>
  <c r="D2" i="3"/>
  <c r="C2" i="3"/>
  <c r="C6" i="3"/>
  <c r="E6" i="3" s="1"/>
  <c r="C5" i="3"/>
  <c r="E5" i="3" s="1"/>
  <c r="C4" i="3"/>
  <c r="C3" i="3"/>
  <c r="E3" i="3" s="1"/>
  <c r="H17" i="4" l="1"/>
  <c r="J26" i="4" s="1"/>
  <c r="Q242" i="2"/>
  <c r="Q241" i="2"/>
  <c r="Q240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</calcChain>
</file>

<file path=xl/connections.xml><?xml version="1.0" encoding="utf-8"?>
<connections xmlns="http://schemas.openxmlformats.org/spreadsheetml/2006/main">
  <connection id="1" name="Wind Data" type="6" refreshedVersion="3" background="1" saveData="1">
    <textPr codePage="437" sourceFile="C:\Documents and Settings\Mike\My Documents\School\DSS\Exam\Wind Data.txt" delimited="0">
      <textFields count="15">
        <textField/>
        <textField position="25"/>
        <textField position="35"/>
        <textField position="42"/>
        <textField position="49"/>
        <textField position="56"/>
        <textField position="63"/>
        <textField position="70"/>
        <textField position="77"/>
        <textField position="84"/>
        <textField position="91"/>
        <textField position="98"/>
        <textField position="105"/>
        <textField position="112"/>
        <textField position="119"/>
      </textFields>
    </textPr>
  </connection>
  <connection id="2" name="Wind Data1" type="6" refreshedVersion="3" background="1" saveData="1">
    <textPr codePage="437" sourceFile="C:\Documents and Settings\Mike\My Documents\School\DSS\Exam\Wind Data.txt" delimited="0">
      <textFields count="15">
        <textField/>
        <textField position="25"/>
        <textField position="35"/>
        <textField position="42"/>
        <textField position="49"/>
        <textField position="56"/>
        <textField position="63"/>
        <textField position="70"/>
        <textField position="77"/>
        <textField position="84"/>
        <textField position="91"/>
        <textField position="98"/>
        <textField position="105"/>
        <textField position="112"/>
        <textField position="119"/>
      </textFields>
    </textPr>
  </connection>
</connections>
</file>

<file path=xl/sharedStrings.xml><?xml version="1.0" encoding="utf-8"?>
<sst xmlns="http://schemas.openxmlformats.org/spreadsheetml/2006/main" count="803" uniqueCount="354">
  <si>
    <t>Measured in MPH</t>
  </si>
  <si>
    <t>YRS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</si>
  <si>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</si>
  <si>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</si>
  <si>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</si>
  <si>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</si>
  <si>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</si>
  <si>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</si>
  <si>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</si>
  <si>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</si>
  <si>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</si>
  <si>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</si>
  <si>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</si>
  <si>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</si>
  <si>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ANN</t>
  </si>
  <si>
    <t>Output %</t>
  </si>
  <si>
    <t>Latitude</t>
  </si>
  <si>
    <t>Longitude</t>
  </si>
  <si>
    <t>BRISTOL-JHNSN CTY-KNGSPRT</t>
  </si>
  <si>
    <t>Max</t>
  </si>
  <si>
    <t>Min</t>
  </si>
  <si>
    <t>average</t>
  </si>
  <si>
    <t>Brand</t>
  </si>
  <si>
    <t xml:space="preserve"> Rate (MW)</t>
  </si>
  <si>
    <t>Estimated Cost ($Milion)</t>
  </si>
  <si>
    <t>GE</t>
  </si>
  <si>
    <t>Vestas</t>
  </si>
  <si>
    <t>Gamesa</t>
  </si>
  <si>
    <t>BIRMINGHAM AP</t>
  </si>
  <si>
    <t>AL</t>
  </si>
  <si>
    <t>HUNTSVILLE</t>
  </si>
  <si>
    <t>MOBILE</t>
  </si>
  <si>
    <t>MONTGOMERY</t>
  </si>
  <si>
    <t>FLAGSTAFF</t>
  </si>
  <si>
    <t>PHOENIX</t>
  </si>
  <si>
    <t>TUCSON</t>
  </si>
  <si>
    <t>WINSLOW</t>
  </si>
  <si>
    <t>YUMA</t>
  </si>
  <si>
    <t>FORT SMITH</t>
  </si>
  <si>
    <t>LITTLE ROCK</t>
  </si>
  <si>
    <t>BAKERSFIELD</t>
  </si>
  <si>
    <t>BLUE CANYON</t>
  </si>
  <si>
    <t>EUREKA</t>
  </si>
  <si>
    <t>FRESNO</t>
  </si>
  <si>
    <t>LONG BEACH</t>
  </si>
  <si>
    <t>LOS ANGELES AP</t>
  </si>
  <si>
    <t>LOS ANGELES C.O.</t>
  </si>
  <si>
    <t>MOUNT SHASTA</t>
  </si>
  <si>
    <t>REDDING</t>
  </si>
  <si>
    <t>SACRAMENTO</t>
  </si>
  <si>
    <t>SAN DIEGO</t>
  </si>
  <si>
    <t>SAN FRANCISCO AP</t>
  </si>
  <si>
    <t>SAN FRANCISCO C.O.</t>
  </si>
  <si>
    <t>SANTA BARBARA</t>
  </si>
  <si>
    <t>SANTA MARIA</t>
  </si>
  <si>
    <t>STOCKTON</t>
  </si>
  <si>
    <t>ALAMOSA</t>
  </si>
  <si>
    <t>COLORADO SPRINGS</t>
  </si>
  <si>
    <t>DENVER</t>
  </si>
  <si>
    <t>GRAND JUNCTION</t>
  </si>
  <si>
    <t>PUEBLO</t>
  </si>
  <si>
    <t>BRIDGEPORT</t>
  </si>
  <si>
    <t>HARTFORD</t>
  </si>
  <si>
    <t>WILMINGTON</t>
  </si>
  <si>
    <t>WASHINGTON DULLES AP</t>
  </si>
  <si>
    <t>WASHINGTON NAT'L AP</t>
  </si>
  <si>
    <t>APALACHICOLA</t>
  </si>
  <si>
    <t>DAYTONA BEACH</t>
  </si>
  <si>
    <t>FORT MYERS</t>
  </si>
  <si>
    <t>GAINESVILLE</t>
  </si>
  <si>
    <t>JACKSONVILLE</t>
  </si>
  <si>
    <t>KEY WEST</t>
  </si>
  <si>
    <t>MIAMI</t>
  </si>
  <si>
    <t>ORLANDO</t>
  </si>
  <si>
    <t>PENSACOLA</t>
  </si>
  <si>
    <t>TALLAHASSEE</t>
  </si>
  <si>
    <t>TAMPA</t>
  </si>
  <si>
    <t>VERO BEACH</t>
  </si>
  <si>
    <t>WEST PALM BEACH</t>
  </si>
  <si>
    <t>ATHENS</t>
  </si>
  <si>
    <t>ATLANTA</t>
  </si>
  <si>
    <t>AUGUSTA</t>
  </si>
  <si>
    <t>GA</t>
  </si>
  <si>
    <t>COLUMBUS</t>
  </si>
  <si>
    <t>MACON</t>
  </si>
  <si>
    <t>SAVANNAH</t>
  </si>
  <si>
    <t>BOISE</t>
  </si>
  <si>
    <t>POCATELLO</t>
  </si>
  <si>
    <t>CAIRO</t>
  </si>
  <si>
    <t>IL</t>
  </si>
  <si>
    <t>CHICAGO</t>
  </si>
  <si>
    <t>MOLINE</t>
  </si>
  <si>
    <t>PEORIA</t>
  </si>
  <si>
    <t>ROCKFORD</t>
  </si>
  <si>
    <t>SPRINGFIELD</t>
  </si>
  <si>
    <t>EVANSVILLE</t>
  </si>
  <si>
    <t>FORT WAYNE</t>
  </si>
  <si>
    <t>INDIANAPOLIS</t>
  </si>
  <si>
    <t>SOUTH BEND</t>
  </si>
  <si>
    <t>DES MOINES</t>
  </si>
  <si>
    <t>SIOUX CITY</t>
  </si>
  <si>
    <t>WATERLOO</t>
  </si>
  <si>
    <t>CONCORDIA</t>
  </si>
  <si>
    <t>DODGE CITY</t>
  </si>
  <si>
    <t>GOODLAND</t>
  </si>
  <si>
    <t>TOPEKA</t>
  </si>
  <si>
    <t>WICHITA</t>
  </si>
  <si>
    <t>JACKSON</t>
  </si>
  <si>
    <t>LEXINGTON</t>
  </si>
  <si>
    <t>LOUISVILLE</t>
  </si>
  <si>
    <t>BATON ROUGE</t>
  </si>
  <si>
    <t>LAKE CHARLES</t>
  </si>
  <si>
    <t>NEW ORLEANS</t>
  </si>
  <si>
    <t>SHREVEPORT</t>
  </si>
  <si>
    <t>CARIBOU</t>
  </si>
  <si>
    <t>PORTLAND</t>
  </si>
  <si>
    <t>BALTIMORE</t>
  </si>
  <si>
    <t>BLUE HILL</t>
  </si>
  <si>
    <t>BOSTON</t>
  </si>
  <si>
    <t>WORCESTER</t>
  </si>
  <si>
    <t>ALPENA</t>
  </si>
  <si>
    <t>DETROIT</t>
  </si>
  <si>
    <t>FLINT</t>
  </si>
  <si>
    <t>GRAND RAPIDS</t>
  </si>
  <si>
    <t>HOUGHTON LAKE</t>
  </si>
  <si>
    <t>LANSING</t>
  </si>
  <si>
    <t>MUSKEGON</t>
  </si>
  <si>
    <t>SAULT STE. MARIE</t>
  </si>
  <si>
    <t>DULUTH</t>
  </si>
  <si>
    <t>INTERNATIONAL FALLS</t>
  </si>
  <si>
    <t>MINNEAPOLIS-ST.PAUL</t>
  </si>
  <si>
    <t>ROCHESTER</t>
  </si>
  <si>
    <t>SAINT CLOUD</t>
  </si>
  <si>
    <t>MERIDIAN</t>
  </si>
  <si>
    <t>TUPELO</t>
  </si>
  <si>
    <t>COLUMBIA</t>
  </si>
  <si>
    <t>KANSAS CITY</t>
  </si>
  <si>
    <t>ST. LOUIS</t>
  </si>
  <si>
    <t>BILLINGS</t>
  </si>
  <si>
    <t>GLASGOW</t>
  </si>
  <si>
    <t>GREAT FALLS</t>
  </si>
  <si>
    <t>HAVRE</t>
  </si>
  <si>
    <t>HELENA</t>
  </si>
  <si>
    <t>KALISPELL</t>
  </si>
  <si>
    <t>MISSOULA</t>
  </si>
  <si>
    <t>GRAND ISLAND</t>
  </si>
  <si>
    <t>LINCOLN</t>
  </si>
  <si>
    <t>NORFOLK</t>
  </si>
  <si>
    <t>NORTH PLATTE</t>
  </si>
  <si>
    <t>OMAHA EPPLEY AP</t>
  </si>
  <si>
    <t>OMAHA (NORTH)</t>
  </si>
  <si>
    <t>SCOTTSBLUFF</t>
  </si>
  <si>
    <t>VALENTINE</t>
  </si>
  <si>
    <t>ELKO</t>
  </si>
  <si>
    <t>ELY</t>
  </si>
  <si>
    <t>LAS VEGAS</t>
  </si>
  <si>
    <t>RENO</t>
  </si>
  <si>
    <t>WINNEMUCCA</t>
  </si>
  <si>
    <t>CONCORD</t>
  </si>
  <si>
    <t>ATLANTIC CITY AP</t>
  </si>
  <si>
    <t>NEWARK</t>
  </si>
  <si>
    <t>ALBUQUERQUE</t>
  </si>
  <si>
    <t>CLAYTON</t>
  </si>
  <si>
    <t>ROSWELL</t>
  </si>
  <si>
    <t>ALBANY</t>
  </si>
  <si>
    <t>BINGHAMTON</t>
  </si>
  <si>
    <t>BUFFALO</t>
  </si>
  <si>
    <t>ISLIP</t>
  </si>
  <si>
    <t>NEW YORK C.PARK</t>
  </si>
  <si>
    <t>NEW YORK (JFK AP)</t>
  </si>
  <si>
    <t>NEW YORK (LAGUARDIA AP)</t>
  </si>
  <si>
    <t>SYRACUSE</t>
  </si>
  <si>
    <t>ASHEVILLE</t>
  </si>
  <si>
    <t>CAPE HATTERAS</t>
  </si>
  <si>
    <t>CHARLOTTE</t>
  </si>
  <si>
    <t>RALEIGH</t>
  </si>
  <si>
    <t>BISMARCK</t>
  </si>
  <si>
    <t>FARGO</t>
  </si>
  <si>
    <t>GRAND FORKS</t>
  </si>
  <si>
    <t>WILLISTON</t>
  </si>
  <si>
    <t>AKRON</t>
  </si>
  <si>
    <t>CLEVELAND</t>
  </si>
  <si>
    <t>DAYTON</t>
  </si>
  <si>
    <t>MANSFIELD</t>
  </si>
  <si>
    <t>TOLEDO</t>
  </si>
  <si>
    <t>YOUNGSTOWN</t>
  </si>
  <si>
    <t>OKLAHOMA CITY</t>
  </si>
  <si>
    <t>TULSA</t>
  </si>
  <si>
    <t>ASTORIA</t>
  </si>
  <si>
    <t>EUGENE</t>
  </si>
  <si>
    <t>MEDFORD</t>
  </si>
  <si>
    <t>PENDLETON</t>
  </si>
  <si>
    <t>SALEM</t>
  </si>
  <si>
    <t>SEXTON SUMMIT</t>
  </si>
  <si>
    <t>ALLENTOWN</t>
  </si>
  <si>
    <t>ERIE</t>
  </si>
  <si>
    <t>HARRISBURG</t>
  </si>
  <si>
    <t>PHILADELPHIA</t>
  </si>
  <si>
    <t>PITTSBURGH</t>
  </si>
  <si>
    <t>AVOCA</t>
  </si>
  <si>
    <t>WILLIAMSPORT</t>
  </si>
  <si>
    <t>BLOCK IS.</t>
  </si>
  <si>
    <t>RI</t>
  </si>
  <si>
    <t>PROVIDENCE</t>
  </si>
  <si>
    <t>CHARLESTON AP</t>
  </si>
  <si>
    <t>SC</t>
  </si>
  <si>
    <t>ABERDEEN</t>
  </si>
  <si>
    <t>HURON</t>
  </si>
  <si>
    <t>RAPID CITY</t>
  </si>
  <si>
    <t>SIOUX FALLS</t>
  </si>
  <si>
    <t>CHATTANOOGA</t>
  </si>
  <si>
    <t>KNOXVILLE</t>
  </si>
  <si>
    <t>MEMPHIS</t>
  </si>
  <si>
    <t>NASHVILLE</t>
  </si>
  <si>
    <t>OAK RIDGE</t>
  </si>
  <si>
    <t>TN</t>
  </si>
  <si>
    <t>ABILENE</t>
  </si>
  <si>
    <t>AMARILLO</t>
  </si>
  <si>
    <t>AUSTIN/CITY</t>
  </si>
  <si>
    <t>AUSTIN/BERGSTROM</t>
  </si>
  <si>
    <t>BROWNSVILLE</t>
  </si>
  <si>
    <t>CORPUS CHRISTI</t>
  </si>
  <si>
    <t>DALLAS-FORT WORTH</t>
  </si>
  <si>
    <t>DALLAS-LOVE FIELD</t>
  </si>
  <si>
    <t>DEL RIO</t>
  </si>
  <si>
    <t>EL PASO</t>
  </si>
  <si>
    <t>GALVESTON</t>
  </si>
  <si>
    <t>HOUSTON</t>
  </si>
  <si>
    <t>LUBBOCK</t>
  </si>
  <si>
    <t>MIDLAND-ODESSA</t>
  </si>
  <si>
    <t>PORT ARTHUR</t>
  </si>
  <si>
    <t>SAN ANGELO</t>
  </si>
  <si>
    <t>SAN ANTONIO</t>
  </si>
  <si>
    <t>VICTORIA</t>
  </si>
  <si>
    <t>WACO</t>
  </si>
  <si>
    <t>WICHITA FALLS</t>
  </si>
  <si>
    <t>SALT LAKE CITY</t>
  </si>
  <si>
    <t>BURLINGTON</t>
  </si>
  <si>
    <t>LYNCHBURG</t>
  </si>
  <si>
    <t>RICHMOND</t>
  </si>
  <si>
    <t>ROANOKE</t>
  </si>
  <si>
    <t>OLYMPIA</t>
  </si>
  <si>
    <t>QUILLAYUTE</t>
  </si>
  <si>
    <t>SEATTLE SEA-TAC AP</t>
  </si>
  <si>
    <t>SPOKANE</t>
  </si>
  <si>
    <t>YAKIMA</t>
  </si>
  <si>
    <t>BECKLEY</t>
  </si>
  <si>
    <t>CHARLESTON</t>
  </si>
  <si>
    <t>ELKINS</t>
  </si>
  <si>
    <t>HUNTINGTON</t>
  </si>
  <si>
    <t>GREEN BAY</t>
  </si>
  <si>
    <t>LA CROSSE</t>
  </si>
  <si>
    <t>MADISON</t>
  </si>
  <si>
    <t>MILWAUKEE</t>
  </si>
  <si>
    <t>CASPER</t>
  </si>
  <si>
    <t>CHEYENNE</t>
  </si>
  <si>
    <t>LANDER</t>
  </si>
  <si>
    <t>SHERIDAN</t>
  </si>
  <si>
    <t>City</t>
  </si>
  <si>
    <t>State</t>
  </si>
  <si>
    <t>Region</t>
  </si>
  <si>
    <t>South Mideast</t>
  </si>
  <si>
    <t>Mountain West</t>
  </si>
  <si>
    <t>South Midwest</t>
  </si>
  <si>
    <t>Pacific West</t>
  </si>
  <si>
    <t>New England Northeast</t>
  </si>
  <si>
    <t>North Mideast</t>
  </si>
  <si>
    <t>KY</t>
  </si>
  <si>
    <t>PADUCAH</t>
  </si>
  <si>
    <t>North Midwest</t>
  </si>
  <si>
    <t>South East</t>
  </si>
  <si>
    <t>MI</t>
  </si>
  <si>
    <t>AZ</t>
  </si>
  <si>
    <t>AR</t>
  </si>
  <si>
    <t>CA</t>
  </si>
  <si>
    <t>CO</t>
  </si>
  <si>
    <t>CT</t>
  </si>
  <si>
    <t>DE</t>
  </si>
  <si>
    <t>FL</t>
  </si>
  <si>
    <t>ID</t>
  </si>
  <si>
    <t>IN</t>
  </si>
  <si>
    <t>IA</t>
  </si>
  <si>
    <t>KS</t>
  </si>
  <si>
    <t>LA</t>
  </si>
  <si>
    <t>ME</t>
  </si>
  <si>
    <t>MD</t>
  </si>
  <si>
    <t>MA</t>
  </si>
  <si>
    <t>MN</t>
  </si>
  <si>
    <t>MS</t>
  </si>
  <si>
    <t>MO</t>
  </si>
  <si>
    <t>MT</t>
  </si>
  <si>
    <t>NE</t>
  </si>
  <si>
    <t>NV</t>
  </si>
  <si>
    <t>NH</t>
  </si>
  <si>
    <t>NJ</t>
  </si>
  <si>
    <t>Atlantic Northeast</t>
  </si>
  <si>
    <t>NM</t>
  </si>
  <si>
    <t>NY</t>
  </si>
  <si>
    <t>NC</t>
  </si>
  <si>
    <t>GREENSBORO-WNSTN-SALM</t>
  </si>
  <si>
    <t>ND</t>
  </si>
  <si>
    <t>OH</t>
  </si>
  <si>
    <t>OK</t>
  </si>
  <si>
    <t>OR</t>
  </si>
  <si>
    <t>PA</t>
  </si>
  <si>
    <t>GREENVILLE-SPARTANBURG</t>
  </si>
  <si>
    <t>SD</t>
  </si>
  <si>
    <t>TX</t>
  </si>
  <si>
    <t>UT</t>
  </si>
  <si>
    <t>VT</t>
  </si>
  <si>
    <t>VA</t>
  </si>
  <si>
    <t>WA</t>
  </si>
  <si>
    <t>WV</t>
  </si>
  <si>
    <t>WI</t>
  </si>
  <si>
    <t>WY</t>
  </si>
  <si>
    <t>DC</t>
  </si>
  <si>
    <t>% Wind Energy Demand</t>
  </si>
  <si>
    <t>Wind Energy Demand (MWh)</t>
  </si>
  <si>
    <t>QTY</t>
  </si>
  <si>
    <t>Unit Cost (M)</t>
  </si>
  <si>
    <t>Radius Checkpoint</t>
  </si>
  <si>
    <t>Radius</t>
  </si>
  <si>
    <t>Long</t>
  </si>
  <si>
    <t>Lat</t>
  </si>
  <si>
    <t>Wind Efficiency</t>
  </si>
  <si>
    <t>Annual Output (MW) at 100% Efficiency</t>
  </si>
  <si>
    <t>Enxco</t>
  </si>
  <si>
    <t>Initial Investment</t>
  </si>
  <si>
    <t>Maximize Output while staying on the budget</t>
  </si>
  <si>
    <t>DeWind</t>
  </si>
  <si>
    <t>Wind Efficieny</t>
  </si>
  <si>
    <t>Total Cost per Unit</t>
  </si>
  <si>
    <t>Total Cost</t>
  </si>
  <si>
    <t>&lt;=</t>
  </si>
  <si>
    <t>O&amp;M (M)</t>
  </si>
  <si>
    <t>Maximize Revenue within Radius</t>
  </si>
  <si>
    <t>Supply to City</t>
  </si>
  <si>
    <t>O&amp;M per MW</t>
  </si>
  <si>
    <t>obj Max Profit</t>
  </si>
  <si>
    <t>Total Supply</t>
  </si>
  <si>
    <t>City Within Radius</t>
  </si>
  <si>
    <t>On or  Off</t>
  </si>
  <si>
    <t>miles</t>
  </si>
  <si>
    <t>Million</t>
  </si>
  <si>
    <t>Annual Output (MWH)</t>
  </si>
  <si>
    <t>Distance (Miles)</t>
  </si>
  <si>
    <t>Average Energy Consumption/Month</t>
  </si>
  <si>
    <t>Price($/MWH)</t>
  </si>
  <si>
    <t>Price ($/MWH)</t>
  </si>
  <si>
    <t>Annual Demand(MWH)</t>
  </si>
  <si>
    <t>Obj Max Annual Output</t>
  </si>
  <si>
    <t>MWH</t>
  </si>
  <si>
    <t>Annual Price($/MWH)</t>
  </si>
  <si>
    <t>Max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</si>
</sst>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0" fontId="2" fillId="0" borderId="0" xfId="0" applyFont="1"/>
    <xf numFmtId="10" fontId="0" fillId="0" borderId="0" xfId="1" applyNumberFormat="1" applyFont="1"/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0" fontId="4" fillId="0" borderId="0" xfId="0" applyFont="1"/>
    <xf numFmtId="10" fontId="0" fillId="0" borderId="0" xfId="0" applyNumberFormat="1"/>
    <xf numFmtId="0" fontId="0" fillId="6" borderId="0" xfId="0" applyFill="1"/>
    <xf numFmtId="0" fontId="0" fillId="0" borderId="1" xfId="0" applyBorder="1"/>
    <xf numFmtId="0" fontId="0" fillId="3" borderId="1" xfId="0" applyFill="1" applyBorder="1"/>
    <xf numFmtId="0" fontId="0" fillId="6" borderId="1" xfId="0" applyFill="1" applyBorder="1"/>
    <xf numFmtId="0" fontId="0" fillId="5" borderId="1" xfId="0" applyFill="1" applyBorder="1"/>
    <xf numFmtId="44" fontId="0" fillId="0" borderId="0" xfId="0" applyNumberFormat="1"/>
    <xf numFmtId="0" fontId="0" fillId="4" borderId="1" xfId="0" applyFill="1" applyBorder="1"/>
    <xf numFmtId="0" fontId="0" fillId="0" borderId="0" xfId="0" applyFont="1"/>
    <xf numFmtId="44" fontId="1" fillId="0" borderId="0" xfId="2" applyFont="1"/>
    <xf numFmtId="0" fontId="2" fillId="5" borderId="1" xfId="0" applyFont="1" applyFill="1" applyBorder="1"/>
    <xf numFmtId="0" fontId="0" fillId="3" borderId="1" xfId="0" applyFont="1" applyFill="1" applyBorder="1"/>
    <xf numFmtId="44" fontId="0" fillId="3" borderId="1" xfId="2" applyFont="1" applyFill="1" applyBorder="1"/>
    <xf numFmtId="44" fontId="0" fillId="3" borderId="1" xfId="0" applyNumberFormat="1" applyFill="1" applyBorder="1"/>
    <xf numFmtId="44" fontId="0" fillId="0" borderId="1" xfId="2" applyFont="1" applyBorder="1"/>
    <xf numFmtId="0" fontId="2" fillId="3" borderId="1" xfId="0" applyFont="1" applyFill="1" applyBorder="1"/>
    <xf numFmtId="0" fontId="0" fillId="0" borderId="0" xfId="0" applyFill="1"/>
    <xf numFmtId="44" fontId="0" fillId="0" borderId="0" xfId="2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FLAGSTAFF Monthly Wind Efficiency </c:v>
          </c:tx>
          <c:marker>
            <c:symbol val="none"/>
          </c:marker>
          <c:cat>
            <c:strRef>
              <c:f>'Average Daily Wind'!$E$2:$P$2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'Average Daily Wind'!$E$7:$P$7</c:f>
              <c:numCache>
                <c:formatCode>General</c:formatCode>
                <c:ptCount val="12"/>
                <c:pt idx="0">
                  <c:v>6.5</c:v>
                </c:pt>
                <c:pt idx="1">
                  <c:v>6.6</c:v>
                </c:pt>
                <c:pt idx="2">
                  <c:v>7.1</c:v>
                </c:pt>
                <c:pt idx="3">
                  <c:v>7.6</c:v>
                </c:pt>
                <c:pt idx="4">
                  <c:v>7.3</c:v>
                </c:pt>
                <c:pt idx="5">
                  <c:v>7</c:v>
                </c:pt>
                <c:pt idx="6">
                  <c:v>5.5</c:v>
                </c:pt>
                <c:pt idx="7">
                  <c:v>5</c:v>
                </c:pt>
                <c:pt idx="8">
                  <c:v>5.6</c:v>
                </c:pt>
                <c:pt idx="9">
                  <c:v>5.8</c:v>
                </c:pt>
                <c:pt idx="10">
                  <c:v>6.6</c:v>
                </c:pt>
                <c:pt idx="11">
                  <c:v>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30176"/>
        <c:axId val="83331712"/>
      </c:lineChart>
      <c:catAx>
        <c:axId val="8333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83331712"/>
        <c:crosses val="autoZero"/>
        <c:auto val="1"/>
        <c:lblAlgn val="ctr"/>
        <c:lblOffset val="100"/>
        <c:noMultiLvlLbl val="0"/>
      </c:catAx>
      <c:valAx>
        <c:axId val="83331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Wind Efficiency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33301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266701</xdr:colOff>
      <xdr:row>1</xdr:row>
      <xdr:rowOff>152401</xdr:rowOff>
    </xdr:from>
    <xdr:to>
      <xdr:col>15</xdr:col>
      <xdr:colOff>190501</xdr:colOff>
      <xdr:row>5</xdr:row>
      <xdr:rowOff>1</xdr:rowOff>
    </xdr:to>
    <xdr:sp macro="" textlink="">
      <xdr:nvSpPr>
        <xdr:cNvPr id="2" name="TextBox 1"/>
        <xdr:cNvSpPr txBox="1"/>
      </xdr:nvSpPr>
      <xdr:spPr>
        <a:xfrm>
          <a:off x="2705101" y="342901"/>
          <a:ext cx="6629400" cy="609600"/>
        </a:xfrm>
        <a:prstGeom prst="rect">
          <a:avLst/>
        </a:prstGeom>
        <a:solidFill>
          <a:schemeClr val="tx2">
            <a:lumMod val="75000"/>
          </a:schemeClr>
        </a:solidFill>
        <a:ln w="38100" cmpd="sng">
          <a:solidFill>
            <a:schemeClr val="accent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3200">
              <a:solidFill>
                <a:schemeClr val="bg1">
                  <a:lumMod val="85000"/>
                </a:schemeClr>
              </a:solidFill>
            </a:rPr>
            <a:t>Wind Energy Decision Support System</a:t>
          </a:r>
        </a:p>
      </xdr:txBody>
    </xdr:sp>
    <xdr:clientData/>
  </xdr:twoCellAnchor>
  <xdr:twoCellAnchor>
    <xdr:from>
      <xdr:col>7</xdr:col>
      <xdr:colOff>104775</xdr:colOff>
      <xdr:row>6</xdr:row>
      <xdr:rowOff>171450</xdr:rowOff>
    </xdr:from>
    <xdr:to>
      <xdr:col>12</xdr:col>
      <xdr:colOff>38100</xdr:colOff>
      <xdr:row>11</xdr:row>
      <xdr:rowOff>114300</xdr:rowOff>
    </xdr:to>
    <xdr:sp macro="[0]!appstart" textlink="">
      <xdr:nvSpPr>
        <xdr:cNvPr id="3" name="Rounded Rectangle 2"/>
        <xdr:cNvSpPr/>
      </xdr:nvSpPr>
      <xdr:spPr>
        <a:xfrm>
          <a:off x="4371975" y="1314450"/>
          <a:ext cx="2981325" cy="895350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800" b="1">
              <a:solidFill>
                <a:schemeClr val="accent2">
                  <a:lumMod val="50000"/>
                </a:schemeClr>
              </a:solidFill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137160</xdr:colOff>
      <xdr:row>8</xdr:row>
      <xdr:rowOff>163830</xdr:rowOff>
    </xdr:from>
    <xdr:to>
      <xdr:col>15</xdr:col>
      <xdr:colOff>441960</xdr:colOff>
      <xdr:row>23</xdr:row>
      <xdr:rowOff>163830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Wind Data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ind Data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2" zoomScaleNormal="100" workbookViewId="0">
      <selection activeCell="D17" sqref="D17"/>
    </sheetView>
  </sheetViews>
  <sheetFormatPr defaultColWidth="9.109375" defaultRowHeight="14.4" x14ac:dyDescent="0.3"/>
  <cols>
    <col min="1" max="16384" width="9.109375" style="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C20" sqref="C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42"/>
  <sheetViews>
    <sheetView topLeftCell="B15" workbookViewId="0">
      <selection activeCell="S30" sqref="S30"/>
    </sheetView>
  </sheetViews>
  <sheetFormatPr defaultRowHeight="14.4" x14ac:dyDescent="0.3"/>
  <cols>
    <col min="1" max="1" width="31.33203125" bestFit="1" customWidth="1"/>
    <col min="2" max="3" width="31.33203125" customWidth="1"/>
    <col min="4" max="4" width="9.5546875" bestFit="1" customWidth="1"/>
    <col min="5" max="6" width="5" bestFit="1" customWidth="1"/>
    <col min="7" max="7" width="5.109375" bestFit="1" customWidth="1"/>
    <col min="8" max="14" width="5" bestFit="1" customWidth="1"/>
    <col min="15" max="15" width="5.109375" bestFit="1" customWidth="1"/>
    <col min="16" max="16" width="5" bestFit="1" customWidth="1"/>
    <col min="17" max="17" width="5.109375" bestFit="1" customWidth="1"/>
    <col min="19" max="19" width="10" bestFit="1" customWidth="1"/>
    <col min="20" max="20" width="11.6640625" bestFit="1" customWidth="1"/>
    <col min="21" max="21" width="20.88671875" bestFit="1" customWidth="1"/>
    <col min="22" max="22" width="34.6640625" bestFit="1" customWidth="1"/>
    <col min="23" max="23" width="22.5546875" bestFit="1" customWidth="1"/>
    <col min="24" max="24" width="27.5546875" bestFit="1" customWidth="1"/>
    <col min="25" max="25" width="14" bestFit="1" customWidth="1"/>
  </cols>
  <sheetData>
    <row r="1" spans="1:25" ht="23.4" x14ac:dyDescent="0.45">
      <c r="A1" s="1" t="s">
        <v>0</v>
      </c>
      <c r="B1" s="1"/>
      <c r="C1" s="1"/>
    </row>
    <row r="2" spans="1:25" ht="15.6" x14ac:dyDescent="0.3">
      <c r="A2" s="7" t="s">
        <v>258</v>
      </c>
      <c r="B2" s="7" t="s">
        <v>259</v>
      </c>
      <c r="C2" s="7" t="s">
        <v>260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2" t="s">
        <v>16</v>
      </c>
      <c r="T2" s="2" t="s">
        <v>17</v>
      </c>
      <c r="U2" s="2" t="s">
        <v>352</v>
      </c>
      <c r="V2" s="2" t="s">
        <v>346</v>
      </c>
      <c r="W2" s="2" t="s">
        <v>316</v>
      </c>
      <c r="X2" s="2" t="s">
        <v>317</v>
      </c>
      <c r="Y2" s="2" t="s">
        <v>347</v>
      </c>
    </row>
    <row r="3" spans="1:25" x14ac:dyDescent="0.3">
      <c r="A3" t="s">
        <v>28</v>
      </c>
      <c r="B3" t="s">
        <v>29</v>
      </c>
      <c r="C3" t="s">
        <v>261</v>
      </c>
      <c r="D3">
        <v>59</v>
      </c>
      <c r="E3">
        <v>8.1</v>
      </c>
      <c r="F3">
        <v>8.6999999999999993</v>
      </c>
      <c r="G3">
        <v>9</v>
      </c>
      <c r="H3">
        <v>8.1999999999999993</v>
      </c>
      <c r="I3">
        <v>6.8</v>
      </c>
      <c r="J3">
        <v>6</v>
      </c>
      <c r="K3">
        <v>5.7</v>
      </c>
      <c r="L3">
        <v>5.4</v>
      </c>
      <c r="M3">
        <v>6.3</v>
      </c>
      <c r="N3">
        <v>6.2</v>
      </c>
      <c r="O3">
        <v>7.2</v>
      </c>
      <c r="P3">
        <v>7.7</v>
      </c>
      <c r="Q3">
        <v>7.1</v>
      </c>
      <c r="R3" s="3">
        <f>Q3*(0.269)/9.06</f>
        <v>0.21080573951434878</v>
      </c>
      <c r="S3">
        <v>33.520294999999997</v>
      </c>
      <c r="T3">
        <v>-86.811503999999999</v>
      </c>
      <c r="U3">
        <f ca="1">Y3*X3</f>
        <v>916336.8</v>
      </c>
      <c r="V3">
        <f ca="1">RANDBETWEEN(603,737)</f>
        <v>711</v>
      </c>
      <c r="W3" s="8">
        <f ca="1">ROUND(RAND()*2%+0.5%,4)</f>
        <v>5.4000000000000003E-3</v>
      </c>
      <c r="X3">
        <f ca="1">V3*12</f>
        <v>8532</v>
      </c>
      <c r="Y3">
        <f ca="1">ROUND(RAND()*8+8,2)*10</f>
        <v>107.4</v>
      </c>
    </row>
    <row r="4" spans="1:25" ht="15" customHeight="1" x14ac:dyDescent="0.3">
      <c r="A4" t="s">
        <v>30</v>
      </c>
      <c r="B4" t="s">
        <v>29</v>
      </c>
      <c r="C4" t="s">
        <v>261</v>
      </c>
      <c r="D4">
        <v>35</v>
      </c>
      <c r="E4">
        <v>9</v>
      </c>
      <c r="F4">
        <v>9.4</v>
      </c>
      <c r="G4">
        <v>9.8000000000000007</v>
      </c>
      <c r="H4">
        <v>9.1999999999999993</v>
      </c>
      <c r="I4">
        <v>7.9</v>
      </c>
      <c r="J4">
        <v>6.9</v>
      </c>
      <c r="K4">
        <v>6</v>
      </c>
      <c r="L4">
        <v>5.8</v>
      </c>
      <c r="M4">
        <v>6.7</v>
      </c>
      <c r="N4">
        <v>7.3</v>
      </c>
      <c r="O4">
        <v>8.1</v>
      </c>
      <c r="P4">
        <v>9</v>
      </c>
      <c r="Q4">
        <v>7.9</v>
      </c>
      <c r="R4" s="3">
        <f>Q4*(0.269)/9.06</f>
        <v>0.23455849889624725</v>
      </c>
      <c r="S4" s="4">
        <v>34.729134999999999</v>
      </c>
      <c r="T4" s="5">
        <v>-86.584979000000004</v>
      </c>
      <c r="U4">
        <f t="shared" ref="U4:U67" ca="1" si="0">Y4*X4</f>
        <v>1341156</v>
      </c>
      <c r="V4">
        <f t="shared" ref="V4:V67" ca="1" si="1">RANDBETWEEN(603,737)</f>
        <v>730</v>
      </c>
      <c r="W4" s="8">
        <f t="shared" ref="W4:W67" ca="1" si="2">ROUND(RAND()*2%+0.5%,4)</f>
        <v>1.7299999999999999E-2</v>
      </c>
      <c r="X4">
        <f t="shared" ref="X4:X67" ca="1" si="3">V4*12</f>
        <v>8760</v>
      </c>
      <c r="Y4">
        <f t="shared" ref="Y4:Y67" ca="1" si="4">ROUND(RAND()*8+8,2)*10</f>
        <v>153.1</v>
      </c>
    </row>
    <row r="5" spans="1:25" x14ac:dyDescent="0.3">
      <c r="A5" t="s">
        <v>31</v>
      </c>
      <c r="B5" t="s">
        <v>29</v>
      </c>
      <c r="C5" t="s">
        <v>261</v>
      </c>
      <c r="D5">
        <v>54</v>
      </c>
      <c r="E5">
        <v>10.1</v>
      </c>
      <c r="F5">
        <v>10.3</v>
      </c>
      <c r="G5">
        <v>10.7</v>
      </c>
      <c r="H5">
        <v>10.1</v>
      </c>
      <c r="I5">
        <v>8.6999999999999993</v>
      </c>
      <c r="J5">
        <v>7.5</v>
      </c>
      <c r="K5">
        <v>6.9</v>
      </c>
      <c r="L5">
        <v>6.7</v>
      </c>
      <c r="M5">
        <v>7.7</v>
      </c>
      <c r="N5">
        <v>8</v>
      </c>
      <c r="O5">
        <v>8.9</v>
      </c>
      <c r="P5">
        <v>9.6</v>
      </c>
      <c r="Q5">
        <v>8.8000000000000007</v>
      </c>
      <c r="R5" s="3">
        <f t="shared" ref="R5:R68" si="5">Q5*(0.269)/9.06</f>
        <v>0.26128035320088305</v>
      </c>
      <c r="S5" s="5">
        <v>30.686395000000001</v>
      </c>
      <c r="T5" s="5">
        <v>-88.053239000000005</v>
      </c>
      <c r="U5">
        <f t="shared" ca="1" si="0"/>
        <v>1147896</v>
      </c>
      <c r="V5">
        <f t="shared" ca="1" si="1"/>
        <v>642</v>
      </c>
      <c r="W5" s="8">
        <f t="shared" ca="1" si="2"/>
        <v>2.18E-2</v>
      </c>
      <c r="X5">
        <f t="shared" ca="1" si="3"/>
        <v>7704</v>
      </c>
      <c r="Y5">
        <f t="shared" ca="1" si="4"/>
        <v>149</v>
      </c>
    </row>
    <row r="6" spans="1:25" x14ac:dyDescent="0.3">
      <c r="A6" t="s">
        <v>32</v>
      </c>
      <c r="B6" t="s">
        <v>29</v>
      </c>
      <c r="C6" t="s">
        <v>261</v>
      </c>
      <c r="D6">
        <v>58</v>
      </c>
      <c r="E6">
        <v>7.7</v>
      </c>
      <c r="F6">
        <v>8.1999999999999993</v>
      </c>
      <c r="G6">
        <v>8.3000000000000007</v>
      </c>
      <c r="H6">
        <v>7.3</v>
      </c>
      <c r="I6">
        <v>6.1</v>
      </c>
      <c r="J6">
        <v>5.8</v>
      </c>
      <c r="K6">
        <v>5.7</v>
      </c>
      <c r="L6">
        <v>5.2</v>
      </c>
      <c r="M6">
        <v>5.9</v>
      </c>
      <c r="N6">
        <v>5.7</v>
      </c>
      <c r="O6">
        <v>6.5</v>
      </c>
      <c r="P6">
        <v>7.1</v>
      </c>
      <c r="Q6">
        <v>6.6</v>
      </c>
      <c r="R6" s="3">
        <f t="shared" si="5"/>
        <v>0.19596026490066226</v>
      </c>
      <c r="S6" s="5">
        <v>32.380119999999998</v>
      </c>
      <c r="T6" s="5">
        <v>-86.300629000000001</v>
      </c>
      <c r="U6">
        <f t="shared" ca="1" si="0"/>
        <v>693132</v>
      </c>
      <c r="V6">
        <f t="shared" ca="1" si="1"/>
        <v>649</v>
      </c>
      <c r="W6" s="8">
        <f t="shared" ca="1" si="2"/>
        <v>1.01E-2</v>
      </c>
      <c r="X6">
        <f t="shared" ca="1" si="3"/>
        <v>7788</v>
      </c>
      <c r="Y6">
        <f t="shared" ca="1" si="4"/>
        <v>89</v>
      </c>
    </row>
    <row r="7" spans="1:25" x14ac:dyDescent="0.3">
      <c r="A7" t="s">
        <v>33</v>
      </c>
      <c r="B7" t="s">
        <v>272</v>
      </c>
      <c r="C7" t="s">
        <v>262</v>
      </c>
      <c r="D7">
        <v>35</v>
      </c>
      <c r="E7">
        <v>6.5</v>
      </c>
      <c r="F7">
        <v>6.6</v>
      </c>
      <c r="G7">
        <v>7.1</v>
      </c>
      <c r="H7">
        <v>7.6</v>
      </c>
      <c r="I7">
        <v>7.3</v>
      </c>
      <c r="J7">
        <v>7</v>
      </c>
      <c r="K7">
        <v>5.5</v>
      </c>
      <c r="L7">
        <v>5</v>
      </c>
      <c r="M7">
        <v>5.6</v>
      </c>
      <c r="N7">
        <v>5.8</v>
      </c>
      <c r="O7">
        <v>6.6</v>
      </c>
      <c r="P7">
        <v>6.6</v>
      </c>
      <c r="Q7">
        <v>6.4</v>
      </c>
      <c r="R7" s="3">
        <f t="shared" si="5"/>
        <v>0.19002207505518764</v>
      </c>
      <c r="S7">
        <v>35.1982</v>
      </c>
      <c r="T7">
        <v>-111.651304</v>
      </c>
      <c r="U7">
        <f t="shared" ca="1" si="0"/>
        <v>951000</v>
      </c>
      <c r="V7">
        <f t="shared" ca="1" si="1"/>
        <v>625</v>
      </c>
      <c r="W7" s="8">
        <f t="shared" ca="1" si="2"/>
        <v>1.35E-2</v>
      </c>
      <c r="X7">
        <f t="shared" ca="1" si="3"/>
        <v>7500</v>
      </c>
      <c r="Y7">
        <f t="shared" ca="1" si="4"/>
        <v>126.8</v>
      </c>
    </row>
    <row r="8" spans="1:25" x14ac:dyDescent="0.3">
      <c r="A8" t="s">
        <v>34</v>
      </c>
      <c r="B8" t="s">
        <v>272</v>
      </c>
      <c r="C8" t="s">
        <v>262</v>
      </c>
      <c r="D8">
        <v>57</v>
      </c>
      <c r="E8">
        <v>5.3</v>
      </c>
      <c r="F8">
        <v>5.8</v>
      </c>
      <c r="G8">
        <v>6.6</v>
      </c>
      <c r="H8">
        <v>6.9</v>
      </c>
      <c r="I8">
        <v>7</v>
      </c>
      <c r="J8">
        <v>6.7</v>
      </c>
      <c r="K8">
        <v>7.1</v>
      </c>
      <c r="L8">
        <v>6.6</v>
      </c>
      <c r="M8">
        <v>6.3</v>
      </c>
      <c r="N8">
        <v>5.8</v>
      </c>
      <c r="O8">
        <v>5.3</v>
      </c>
      <c r="P8">
        <v>5.0999999999999996</v>
      </c>
      <c r="Q8">
        <v>6.2</v>
      </c>
      <c r="R8" s="3">
        <f t="shared" si="5"/>
        <v>0.18408388520971303</v>
      </c>
      <c r="S8">
        <v>33.448259999999998</v>
      </c>
      <c r="T8">
        <v>-112.075774</v>
      </c>
      <c r="U8">
        <f t="shared" ca="1" si="0"/>
        <v>718704</v>
      </c>
      <c r="V8">
        <f t="shared" ca="1" si="1"/>
        <v>713</v>
      </c>
      <c r="W8" s="8">
        <f t="shared" ca="1" si="2"/>
        <v>1.38E-2</v>
      </c>
      <c r="X8">
        <f t="shared" ca="1" si="3"/>
        <v>8556</v>
      </c>
      <c r="Y8">
        <f t="shared" ca="1" si="4"/>
        <v>84</v>
      </c>
    </row>
    <row r="9" spans="1:25" x14ac:dyDescent="0.3">
      <c r="A9" t="s">
        <v>35</v>
      </c>
      <c r="B9" t="s">
        <v>272</v>
      </c>
      <c r="C9" t="s">
        <v>262</v>
      </c>
      <c r="D9">
        <v>57</v>
      </c>
      <c r="E9">
        <v>7.9</v>
      </c>
      <c r="F9">
        <v>8.1</v>
      </c>
      <c r="G9">
        <v>8.6</v>
      </c>
      <c r="H9">
        <v>8.9</v>
      </c>
      <c r="I9">
        <v>8.8000000000000007</v>
      </c>
      <c r="J9">
        <v>8.6999999999999993</v>
      </c>
      <c r="K9">
        <v>8.4</v>
      </c>
      <c r="L9">
        <v>7.9</v>
      </c>
      <c r="M9">
        <v>8.3000000000000007</v>
      </c>
      <c r="N9">
        <v>8.1999999999999993</v>
      </c>
      <c r="O9">
        <v>8.1</v>
      </c>
      <c r="P9">
        <v>7.8</v>
      </c>
      <c r="Q9">
        <v>8.3000000000000007</v>
      </c>
      <c r="R9" s="3">
        <f t="shared" si="5"/>
        <v>0.24643487858719648</v>
      </c>
      <c r="S9">
        <v>32.221553</v>
      </c>
      <c r="T9">
        <v>-110.96975399999999</v>
      </c>
      <c r="U9">
        <f t="shared" ca="1" si="0"/>
        <v>928461.6</v>
      </c>
      <c r="V9">
        <f t="shared" ca="1" si="1"/>
        <v>617</v>
      </c>
      <c r="W9" s="8">
        <f t="shared" ca="1" si="2"/>
        <v>7.3000000000000001E-3</v>
      </c>
      <c r="X9">
        <f t="shared" ca="1" si="3"/>
        <v>7404</v>
      </c>
      <c r="Y9">
        <f t="shared" ca="1" si="4"/>
        <v>125.39999999999999</v>
      </c>
    </row>
    <row r="10" spans="1:25" x14ac:dyDescent="0.3">
      <c r="A10" t="s">
        <v>36</v>
      </c>
      <c r="B10" t="s">
        <v>272</v>
      </c>
      <c r="C10" t="s">
        <v>262</v>
      </c>
      <c r="D10">
        <v>42</v>
      </c>
      <c r="E10">
        <v>7.1</v>
      </c>
      <c r="F10">
        <v>8.5</v>
      </c>
      <c r="G10">
        <v>10.3</v>
      </c>
      <c r="H10">
        <v>11.3</v>
      </c>
      <c r="I10">
        <v>10.7</v>
      </c>
      <c r="J10">
        <v>10.6</v>
      </c>
      <c r="K10">
        <v>9</v>
      </c>
      <c r="L10">
        <v>8.4</v>
      </c>
      <c r="M10">
        <v>8.1</v>
      </c>
      <c r="N10">
        <v>7.6</v>
      </c>
      <c r="O10">
        <v>7.3</v>
      </c>
      <c r="P10">
        <v>6.7</v>
      </c>
      <c r="Q10">
        <v>8.8000000000000007</v>
      </c>
      <c r="R10" s="3">
        <f t="shared" si="5"/>
        <v>0.26128035320088305</v>
      </c>
      <c r="S10">
        <v>35.024273000000001</v>
      </c>
      <c r="T10">
        <v>-110.696254</v>
      </c>
      <c r="U10">
        <f t="shared" ca="1" si="0"/>
        <v>693946.8</v>
      </c>
      <c r="V10">
        <f t="shared" ca="1" si="1"/>
        <v>667</v>
      </c>
      <c r="W10" s="8">
        <f t="shared" ca="1" si="2"/>
        <v>8.8999999999999999E-3</v>
      </c>
      <c r="X10">
        <f t="shared" ca="1" si="3"/>
        <v>8004</v>
      </c>
      <c r="Y10">
        <f t="shared" ca="1" si="4"/>
        <v>86.7</v>
      </c>
    </row>
    <row r="11" spans="1:25" x14ac:dyDescent="0.3">
      <c r="A11" t="s">
        <v>37</v>
      </c>
      <c r="B11" t="s">
        <v>272</v>
      </c>
      <c r="C11" t="s">
        <v>262</v>
      </c>
      <c r="D11">
        <v>28</v>
      </c>
      <c r="E11">
        <v>7.3</v>
      </c>
      <c r="F11">
        <v>7.4</v>
      </c>
      <c r="G11">
        <v>7.9</v>
      </c>
      <c r="H11">
        <v>8.3000000000000007</v>
      </c>
      <c r="I11">
        <v>8.3000000000000007</v>
      </c>
      <c r="J11">
        <v>8.5</v>
      </c>
      <c r="K11">
        <v>9.5</v>
      </c>
      <c r="L11">
        <v>8.9</v>
      </c>
      <c r="M11">
        <v>7.3</v>
      </c>
      <c r="N11">
        <v>6.6</v>
      </c>
      <c r="O11">
        <v>6.9</v>
      </c>
      <c r="P11">
        <v>7.2</v>
      </c>
      <c r="Q11">
        <v>7.8</v>
      </c>
      <c r="R11" s="3">
        <f t="shared" si="5"/>
        <v>0.23158940397350997</v>
      </c>
      <c r="S11">
        <v>32.684849999999997</v>
      </c>
      <c r="T11">
        <v>-114.62461399999999</v>
      </c>
      <c r="U11">
        <f t="shared" ca="1" si="0"/>
        <v>890617.20000000007</v>
      </c>
      <c r="V11">
        <f t="shared" ca="1" si="1"/>
        <v>619</v>
      </c>
      <c r="W11" s="8">
        <f t="shared" ca="1" si="2"/>
        <v>8.6999999999999994E-3</v>
      </c>
      <c r="X11">
        <f t="shared" ca="1" si="3"/>
        <v>7428</v>
      </c>
      <c r="Y11">
        <f t="shared" ca="1" si="4"/>
        <v>119.9</v>
      </c>
    </row>
    <row r="12" spans="1:25" x14ac:dyDescent="0.3">
      <c r="A12" t="s">
        <v>38</v>
      </c>
      <c r="B12" t="s">
        <v>273</v>
      </c>
      <c r="C12" t="s">
        <v>263</v>
      </c>
      <c r="D12">
        <v>57</v>
      </c>
      <c r="E12">
        <v>8.1999999999999993</v>
      </c>
      <c r="F12">
        <v>8.5</v>
      </c>
      <c r="G12">
        <v>9.4</v>
      </c>
      <c r="H12">
        <v>8.9</v>
      </c>
      <c r="I12">
        <v>7.7</v>
      </c>
      <c r="J12">
        <v>6.7</v>
      </c>
      <c r="K12">
        <v>6.3</v>
      </c>
      <c r="L12">
        <v>6.3</v>
      </c>
      <c r="M12">
        <v>6.6</v>
      </c>
      <c r="N12">
        <v>6.8</v>
      </c>
      <c r="O12">
        <v>7.8</v>
      </c>
      <c r="P12">
        <v>8.1</v>
      </c>
      <c r="Q12">
        <v>7.6</v>
      </c>
      <c r="R12" s="3">
        <f t="shared" si="5"/>
        <v>0.22565121412803529</v>
      </c>
      <c r="S12">
        <v>35.384599999999999</v>
      </c>
      <c r="T12">
        <v>-94.421299000000005</v>
      </c>
      <c r="U12">
        <f t="shared" ca="1" si="0"/>
        <v>1255584</v>
      </c>
      <c r="V12">
        <f t="shared" ca="1" si="1"/>
        <v>656</v>
      </c>
      <c r="W12" s="8">
        <f t="shared" ca="1" si="2"/>
        <v>1.72E-2</v>
      </c>
      <c r="X12">
        <f t="shared" ca="1" si="3"/>
        <v>7872</v>
      </c>
      <c r="Y12">
        <f t="shared" ca="1" si="4"/>
        <v>159.5</v>
      </c>
    </row>
    <row r="13" spans="1:25" x14ac:dyDescent="0.3">
      <c r="A13" t="s">
        <v>39</v>
      </c>
      <c r="B13" t="s">
        <v>273</v>
      </c>
      <c r="C13" t="s">
        <v>263</v>
      </c>
      <c r="D13">
        <v>60</v>
      </c>
      <c r="E13">
        <v>8.4</v>
      </c>
      <c r="F13">
        <v>8.9</v>
      </c>
      <c r="G13">
        <v>9.6</v>
      </c>
      <c r="H13">
        <v>9</v>
      </c>
      <c r="I13">
        <v>7.6</v>
      </c>
      <c r="J13">
        <v>7.1</v>
      </c>
      <c r="K13">
        <v>6.7</v>
      </c>
      <c r="L13">
        <v>6.3</v>
      </c>
      <c r="M13">
        <v>6.6</v>
      </c>
      <c r="N13">
        <v>6.8</v>
      </c>
      <c r="O13">
        <v>8</v>
      </c>
      <c r="P13">
        <v>8.1</v>
      </c>
      <c r="Q13">
        <v>7.8</v>
      </c>
      <c r="R13" s="3">
        <f t="shared" si="5"/>
        <v>0.23158940397350997</v>
      </c>
      <c r="S13">
        <v>34.748654999999999</v>
      </c>
      <c r="T13">
        <v>-92.274494000000004</v>
      </c>
      <c r="U13">
        <f t="shared" ca="1" si="0"/>
        <v>651393.6</v>
      </c>
      <c r="V13">
        <f t="shared" ca="1" si="1"/>
        <v>676</v>
      </c>
      <c r="W13" s="8">
        <f t="shared" ca="1" si="2"/>
        <v>7.1999999999999998E-3</v>
      </c>
      <c r="X13">
        <f t="shared" ca="1" si="3"/>
        <v>8112</v>
      </c>
      <c r="Y13">
        <f t="shared" ca="1" si="4"/>
        <v>80.3</v>
      </c>
    </row>
    <row r="14" spans="1:25" x14ac:dyDescent="0.3">
      <c r="A14" t="s">
        <v>40</v>
      </c>
      <c r="B14" t="s">
        <v>274</v>
      </c>
      <c r="C14" t="s">
        <v>264</v>
      </c>
      <c r="D14">
        <v>50</v>
      </c>
      <c r="E14">
        <v>5.2</v>
      </c>
      <c r="F14">
        <v>5.8</v>
      </c>
      <c r="G14">
        <v>6.5</v>
      </c>
      <c r="H14">
        <v>7.1</v>
      </c>
      <c r="I14">
        <v>7.9</v>
      </c>
      <c r="J14">
        <v>7.9</v>
      </c>
      <c r="K14">
        <v>7.2</v>
      </c>
      <c r="L14">
        <v>6.8</v>
      </c>
      <c r="M14">
        <v>6.2</v>
      </c>
      <c r="N14">
        <v>5.5</v>
      </c>
      <c r="O14">
        <v>5.0999999999999996</v>
      </c>
      <c r="P14">
        <v>5</v>
      </c>
      <c r="Q14">
        <v>6.4</v>
      </c>
      <c r="R14" s="3">
        <f t="shared" si="5"/>
        <v>0.19002207505518764</v>
      </c>
      <c r="S14">
        <v>35.366970000000002</v>
      </c>
      <c r="T14">
        <v>-119.018863</v>
      </c>
      <c r="U14">
        <f t="shared" ca="1" si="0"/>
        <v>988980</v>
      </c>
      <c r="V14">
        <f t="shared" ca="1" si="1"/>
        <v>622</v>
      </c>
      <c r="W14" s="8">
        <f t="shared" ca="1" si="2"/>
        <v>1.18E-2</v>
      </c>
      <c r="X14">
        <f t="shared" ca="1" si="3"/>
        <v>7464</v>
      </c>
      <c r="Y14">
        <f t="shared" ca="1" si="4"/>
        <v>132.5</v>
      </c>
    </row>
    <row r="15" spans="1:25" x14ac:dyDescent="0.3">
      <c r="A15" t="s">
        <v>41</v>
      </c>
      <c r="B15" t="s">
        <v>274</v>
      </c>
      <c r="C15" t="s">
        <v>264</v>
      </c>
      <c r="D15">
        <v>50</v>
      </c>
      <c r="E15">
        <v>7.8</v>
      </c>
      <c r="F15">
        <v>7.7</v>
      </c>
      <c r="G15">
        <v>7.4</v>
      </c>
      <c r="H15">
        <v>6.5</v>
      </c>
      <c r="I15">
        <v>6.5</v>
      </c>
      <c r="J15">
        <v>6.3</v>
      </c>
      <c r="K15">
        <v>5.8</v>
      </c>
      <c r="L15">
        <v>5.9</v>
      </c>
      <c r="M15">
        <v>6.4</v>
      </c>
      <c r="N15">
        <v>6.8</v>
      </c>
      <c r="O15">
        <v>6.6</v>
      </c>
      <c r="P15">
        <v>6.7</v>
      </c>
      <c r="Q15">
        <v>6.7</v>
      </c>
      <c r="R15" s="3">
        <f t="shared" si="5"/>
        <v>0.19892935982339957</v>
      </c>
      <c r="S15">
        <v>39.283248999999998</v>
      </c>
      <c r="T15">
        <v>-120.703346</v>
      </c>
      <c r="U15">
        <f t="shared" ca="1" si="0"/>
        <v>692056.8</v>
      </c>
      <c r="V15">
        <f t="shared" ca="1" si="1"/>
        <v>694</v>
      </c>
      <c r="W15" s="8">
        <f t="shared" ca="1" si="2"/>
        <v>2.1000000000000001E-2</v>
      </c>
      <c r="X15">
        <f t="shared" ca="1" si="3"/>
        <v>8328</v>
      </c>
      <c r="Y15">
        <f t="shared" ca="1" si="4"/>
        <v>83.100000000000009</v>
      </c>
    </row>
    <row r="16" spans="1:25" x14ac:dyDescent="0.3">
      <c r="A16" t="s">
        <v>42</v>
      </c>
      <c r="B16" t="s">
        <v>274</v>
      </c>
      <c r="C16" t="s">
        <v>264</v>
      </c>
      <c r="D16">
        <v>54</v>
      </c>
      <c r="E16">
        <v>6.9</v>
      </c>
      <c r="F16">
        <v>7.2</v>
      </c>
      <c r="G16">
        <v>7.6</v>
      </c>
      <c r="H16">
        <v>8</v>
      </c>
      <c r="I16">
        <v>7.9</v>
      </c>
      <c r="J16">
        <v>7.4</v>
      </c>
      <c r="K16">
        <v>6.8</v>
      </c>
      <c r="L16">
        <v>5.8</v>
      </c>
      <c r="M16">
        <v>5.5</v>
      </c>
      <c r="N16">
        <v>5.6</v>
      </c>
      <c r="O16">
        <v>6</v>
      </c>
      <c r="P16">
        <v>6.4</v>
      </c>
      <c r="Q16">
        <v>6.8</v>
      </c>
      <c r="R16" s="3">
        <f t="shared" si="5"/>
        <v>0.20189845474613688</v>
      </c>
      <c r="S16">
        <v>40.803255</v>
      </c>
      <c r="T16">
        <v>-124.159554</v>
      </c>
      <c r="U16">
        <f t="shared" ca="1" si="0"/>
        <v>954088.8</v>
      </c>
      <c r="V16">
        <f t="shared" ca="1" si="1"/>
        <v>686</v>
      </c>
      <c r="W16" s="8">
        <f t="shared" ca="1" si="2"/>
        <v>2.24E-2</v>
      </c>
      <c r="X16">
        <f t="shared" ca="1" si="3"/>
        <v>8232</v>
      </c>
      <c r="Y16">
        <f t="shared" ca="1" si="4"/>
        <v>115.9</v>
      </c>
    </row>
    <row r="17" spans="1:25" x14ac:dyDescent="0.3">
      <c r="A17" t="s">
        <v>43</v>
      </c>
      <c r="B17" t="s">
        <v>274</v>
      </c>
      <c r="C17" t="s">
        <v>264</v>
      </c>
      <c r="D17">
        <v>53</v>
      </c>
      <c r="E17">
        <v>5.2</v>
      </c>
      <c r="F17">
        <v>5.7</v>
      </c>
      <c r="G17">
        <v>6.7</v>
      </c>
      <c r="H17">
        <v>7.4</v>
      </c>
      <c r="I17">
        <v>8.1</v>
      </c>
      <c r="J17">
        <v>8.3000000000000007</v>
      </c>
      <c r="K17">
        <v>7.4</v>
      </c>
      <c r="L17">
        <v>6.8</v>
      </c>
      <c r="M17">
        <v>6.1</v>
      </c>
      <c r="N17">
        <v>5.2</v>
      </c>
      <c r="O17">
        <v>4.7</v>
      </c>
      <c r="P17">
        <v>4.9000000000000004</v>
      </c>
      <c r="Q17">
        <v>6.4</v>
      </c>
      <c r="R17" s="3">
        <f t="shared" si="5"/>
        <v>0.19002207505518764</v>
      </c>
      <c r="S17">
        <v>36.740684999999999</v>
      </c>
      <c r="T17">
        <v>-119.78573400000001</v>
      </c>
      <c r="U17">
        <f t="shared" ca="1" si="0"/>
        <v>1073980.8</v>
      </c>
      <c r="V17">
        <f t="shared" ca="1" si="1"/>
        <v>712</v>
      </c>
      <c r="W17" s="8">
        <f t="shared" ca="1" si="2"/>
        <v>2.1999999999999999E-2</v>
      </c>
      <c r="X17">
        <f t="shared" ca="1" si="3"/>
        <v>8544</v>
      </c>
      <c r="Y17">
        <f t="shared" ca="1" si="4"/>
        <v>125.7</v>
      </c>
    </row>
    <row r="18" spans="1:25" x14ac:dyDescent="0.3">
      <c r="A18" t="s">
        <v>44</v>
      </c>
      <c r="B18" t="s">
        <v>274</v>
      </c>
      <c r="C18" t="s">
        <v>264</v>
      </c>
      <c r="D18">
        <v>33</v>
      </c>
      <c r="E18">
        <v>5.2</v>
      </c>
      <c r="F18">
        <v>6</v>
      </c>
      <c r="G18">
        <v>6.7</v>
      </c>
      <c r="H18">
        <v>7.4</v>
      </c>
      <c r="I18">
        <v>7.1</v>
      </c>
      <c r="J18">
        <v>7</v>
      </c>
      <c r="K18">
        <v>6.8</v>
      </c>
      <c r="L18">
        <v>6.6</v>
      </c>
      <c r="M18">
        <v>6.2</v>
      </c>
      <c r="N18">
        <v>5.6</v>
      </c>
      <c r="O18">
        <v>5.2</v>
      </c>
      <c r="P18">
        <v>5</v>
      </c>
      <c r="Q18">
        <v>6.2</v>
      </c>
      <c r="R18" s="3">
        <f t="shared" si="5"/>
        <v>0.18408388520971303</v>
      </c>
      <c r="S18">
        <v>33.766725000000001</v>
      </c>
      <c r="T18">
        <v>-118.19239899999999</v>
      </c>
      <c r="U18">
        <f t="shared" ca="1" si="0"/>
        <v>1207564.8</v>
      </c>
      <c r="V18">
        <f t="shared" ca="1" si="1"/>
        <v>656</v>
      </c>
      <c r="W18" s="8">
        <f t="shared" ca="1" si="2"/>
        <v>7.0000000000000001E-3</v>
      </c>
      <c r="X18">
        <f t="shared" ca="1" si="3"/>
        <v>7872</v>
      </c>
      <c r="Y18">
        <f t="shared" ca="1" si="4"/>
        <v>153.4</v>
      </c>
    </row>
    <row r="19" spans="1:25" x14ac:dyDescent="0.3">
      <c r="A19" t="s">
        <v>45</v>
      </c>
      <c r="B19" t="s">
        <v>274</v>
      </c>
      <c r="C19" t="s">
        <v>264</v>
      </c>
      <c r="D19">
        <v>54</v>
      </c>
      <c r="E19">
        <v>6.7</v>
      </c>
      <c r="F19">
        <v>7.4</v>
      </c>
      <c r="G19">
        <v>8.1</v>
      </c>
      <c r="H19">
        <v>8.5</v>
      </c>
      <c r="I19">
        <v>8.4</v>
      </c>
      <c r="J19">
        <v>8</v>
      </c>
      <c r="K19">
        <v>7.9</v>
      </c>
      <c r="L19">
        <v>7.7</v>
      </c>
      <c r="M19">
        <v>7.3</v>
      </c>
      <c r="N19">
        <v>6.9</v>
      </c>
      <c r="O19">
        <v>6.7</v>
      </c>
      <c r="P19">
        <v>6.6</v>
      </c>
      <c r="Q19">
        <v>7.5</v>
      </c>
      <c r="R19" s="3">
        <f t="shared" si="5"/>
        <v>0.22268211920529801</v>
      </c>
      <c r="S19">
        <v>34.053489999999996</v>
      </c>
      <c r="T19">
        <v>-118.24531899999999</v>
      </c>
      <c r="U19">
        <f t="shared" ca="1" si="0"/>
        <v>1193808</v>
      </c>
      <c r="V19">
        <f t="shared" ca="1" si="1"/>
        <v>646</v>
      </c>
      <c r="W19" s="8">
        <f t="shared" ca="1" si="2"/>
        <v>2.2800000000000001E-2</v>
      </c>
      <c r="X19">
        <f t="shared" ca="1" si="3"/>
        <v>7752</v>
      </c>
      <c r="Y19">
        <f t="shared" ca="1" si="4"/>
        <v>154</v>
      </c>
    </row>
    <row r="20" spans="1:25" x14ac:dyDescent="0.3">
      <c r="A20" t="s">
        <v>46</v>
      </c>
      <c r="B20" t="s">
        <v>274</v>
      </c>
      <c r="C20" t="s">
        <v>264</v>
      </c>
      <c r="D20">
        <v>28</v>
      </c>
      <c r="E20">
        <v>6.2</v>
      </c>
      <c r="F20">
        <v>6.4</v>
      </c>
      <c r="G20">
        <v>6.5</v>
      </c>
      <c r="H20">
        <v>6.3</v>
      </c>
      <c r="I20">
        <v>6</v>
      </c>
      <c r="J20">
        <v>5.4</v>
      </c>
      <c r="K20">
        <v>5</v>
      </c>
      <c r="L20">
        <v>4.9000000000000004</v>
      </c>
      <c r="M20">
        <v>5.0999999999999996</v>
      </c>
      <c r="N20">
        <v>5.2</v>
      </c>
      <c r="O20">
        <v>5.8</v>
      </c>
      <c r="P20">
        <v>5.8</v>
      </c>
      <c r="Q20">
        <v>5.7</v>
      </c>
      <c r="R20" s="3">
        <f t="shared" si="5"/>
        <v>0.16923841059602648</v>
      </c>
      <c r="S20">
        <v>34.053489999999996</v>
      </c>
      <c r="T20">
        <v>-118.24531899999999</v>
      </c>
      <c r="U20">
        <f t="shared" ca="1" si="0"/>
        <v>909588</v>
      </c>
      <c r="V20">
        <f t="shared" ca="1" si="1"/>
        <v>662</v>
      </c>
      <c r="W20" s="8">
        <f t="shared" ca="1" si="2"/>
        <v>8.5000000000000006E-3</v>
      </c>
      <c r="X20">
        <f t="shared" ca="1" si="3"/>
        <v>7944</v>
      </c>
      <c r="Y20">
        <f t="shared" ca="1" si="4"/>
        <v>114.5</v>
      </c>
    </row>
    <row r="21" spans="1:25" x14ac:dyDescent="0.3">
      <c r="A21" t="s">
        <v>47</v>
      </c>
      <c r="B21" t="s">
        <v>274</v>
      </c>
      <c r="C21" t="s">
        <v>264</v>
      </c>
      <c r="D21">
        <v>3</v>
      </c>
      <c r="E21">
        <v>5</v>
      </c>
      <c r="F21">
        <v>5.2</v>
      </c>
      <c r="G21">
        <v>5.8</v>
      </c>
      <c r="H21">
        <v>6.2</v>
      </c>
      <c r="I21">
        <v>5.4</v>
      </c>
      <c r="J21">
        <v>5.4</v>
      </c>
      <c r="K21">
        <v>4.4000000000000004</v>
      </c>
      <c r="L21">
        <v>4.2</v>
      </c>
      <c r="M21">
        <v>4.5999999999999996</v>
      </c>
      <c r="N21">
        <v>4.2</v>
      </c>
      <c r="O21">
        <v>5.2</v>
      </c>
      <c r="P21">
        <v>5.4</v>
      </c>
      <c r="Q21">
        <v>5.0999999999999996</v>
      </c>
      <c r="R21" s="3">
        <f t="shared" si="5"/>
        <v>0.15142384105960263</v>
      </c>
      <c r="S21">
        <v>41.31297</v>
      </c>
      <c r="T21">
        <v>-122.312709</v>
      </c>
      <c r="U21">
        <f t="shared" ca="1" si="0"/>
        <v>944582.39999999991</v>
      </c>
      <c r="V21">
        <f t="shared" ca="1" si="1"/>
        <v>713</v>
      </c>
      <c r="W21" s="8">
        <f t="shared" ca="1" si="2"/>
        <v>1.15E-2</v>
      </c>
      <c r="X21">
        <f t="shared" ca="1" si="3"/>
        <v>8556</v>
      </c>
      <c r="Y21">
        <f t="shared" ca="1" si="4"/>
        <v>110.39999999999999</v>
      </c>
    </row>
    <row r="22" spans="1:25" x14ac:dyDescent="0.3">
      <c r="A22" t="s">
        <v>48</v>
      </c>
      <c r="B22" t="s">
        <v>274</v>
      </c>
      <c r="C22" t="s">
        <v>264</v>
      </c>
      <c r="D22">
        <v>16</v>
      </c>
      <c r="E22">
        <v>6.2</v>
      </c>
      <c r="F22">
        <v>7.1</v>
      </c>
      <c r="G22">
        <v>7.3</v>
      </c>
      <c r="H22">
        <v>7</v>
      </c>
      <c r="I22">
        <v>7.3</v>
      </c>
      <c r="J22">
        <v>7.5</v>
      </c>
      <c r="K22">
        <v>6.6</v>
      </c>
      <c r="L22">
        <v>6.1</v>
      </c>
      <c r="M22">
        <v>6</v>
      </c>
      <c r="N22">
        <v>6</v>
      </c>
      <c r="O22">
        <v>5.7</v>
      </c>
      <c r="P22">
        <v>6.4</v>
      </c>
      <c r="Q22">
        <v>6.6</v>
      </c>
      <c r="R22" s="3">
        <f t="shared" si="5"/>
        <v>0.19596026490066226</v>
      </c>
      <c r="S22">
        <v>40.587515000000003</v>
      </c>
      <c r="T22">
        <v>-122.392934</v>
      </c>
      <c r="U22">
        <f t="shared" ca="1" si="0"/>
        <v>833476.79999999993</v>
      </c>
      <c r="V22">
        <f t="shared" ca="1" si="1"/>
        <v>722</v>
      </c>
      <c r="W22" s="8">
        <f t="shared" ca="1" si="2"/>
        <v>1.8200000000000001E-2</v>
      </c>
      <c r="X22">
        <f t="shared" ca="1" si="3"/>
        <v>8664</v>
      </c>
      <c r="Y22">
        <f t="shared" ca="1" si="4"/>
        <v>96.199999999999989</v>
      </c>
    </row>
    <row r="23" spans="1:25" x14ac:dyDescent="0.3">
      <c r="A23" t="s">
        <v>49</v>
      </c>
      <c r="B23" t="s">
        <v>274</v>
      </c>
      <c r="C23" t="s">
        <v>264</v>
      </c>
      <c r="D23">
        <v>52</v>
      </c>
      <c r="E23">
        <v>7.1</v>
      </c>
      <c r="F23">
        <v>7.3</v>
      </c>
      <c r="G23">
        <v>8.4</v>
      </c>
      <c r="H23">
        <v>8.6</v>
      </c>
      <c r="I23">
        <v>9</v>
      </c>
      <c r="J23">
        <v>9.6</v>
      </c>
      <c r="K23">
        <v>8.9</v>
      </c>
      <c r="L23">
        <v>8.4</v>
      </c>
      <c r="M23">
        <v>7.4</v>
      </c>
      <c r="N23">
        <v>6.4</v>
      </c>
      <c r="O23">
        <v>6</v>
      </c>
      <c r="P23">
        <v>6.4</v>
      </c>
      <c r="Q23">
        <v>7.8</v>
      </c>
      <c r="R23" s="3">
        <f t="shared" si="5"/>
        <v>0.23158940397350997</v>
      </c>
      <c r="S23">
        <v>38.579065</v>
      </c>
      <c r="T23">
        <v>-121.49101400000001</v>
      </c>
      <c r="U23">
        <f t="shared" ca="1" si="0"/>
        <v>947130</v>
      </c>
      <c r="V23">
        <f t="shared" ca="1" si="1"/>
        <v>655</v>
      </c>
      <c r="W23" s="8">
        <f t="shared" ca="1" si="2"/>
        <v>1.14E-2</v>
      </c>
      <c r="X23">
        <f t="shared" ca="1" si="3"/>
        <v>7860</v>
      </c>
      <c r="Y23">
        <f t="shared" ca="1" si="4"/>
        <v>120.5</v>
      </c>
    </row>
    <row r="24" spans="1:25" x14ac:dyDescent="0.3">
      <c r="A24" t="s">
        <v>50</v>
      </c>
      <c r="B24" t="s">
        <v>274</v>
      </c>
      <c r="C24" t="s">
        <v>264</v>
      </c>
      <c r="D24">
        <v>62</v>
      </c>
      <c r="E24">
        <v>6</v>
      </c>
      <c r="F24">
        <v>6.6</v>
      </c>
      <c r="G24">
        <v>7.5</v>
      </c>
      <c r="H24">
        <v>7.8</v>
      </c>
      <c r="I24">
        <v>7.9</v>
      </c>
      <c r="J24">
        <v>7.8</v>
      </c>
      <c r="K24">
        <v>7.5</v>
      </c>
      <c r="L24">
        <v>7.4</v>
      </c>
      <c r="M24">
        <v>7.1</v>
      </c>
      <c r="N24">
        <v>6.5</v>
      </c>
      <c r="O24">
        <v>5.9</v>
      </c>
      <c r="P24">
        <v>5.6</v>
      </c>
      <c r="Q24">
        <v>7</v>
      </c>
      <c r="R24" s="3">
        <f t="shared" si="5"/>
        <v>0.20783664459161147</v>
      </c>
      <c r="S24">
        <v>32.715685000000001</v>
      </c>
      <c r="T24">
        <v>-117.16172400000001</v>
      </c>
      <c r="U24">
        <f t="shared" ca="1" si="0"/>
        <v>1029732</v>
      </c>
      <c r="V24">
        <f t="shared" ca="1" si="1"/>
        <v>638</v>
      </c>
      <c r="W24" s="8">
        <f t="shared" ca="1" si="2"/>
        <v>1.9800000000000002E-2</v>
      </c>
      <c r="X24">
        <f t="shared" ca="1" si="3"/>
        <v>7656</v>
      </c>
      <c r="Y24">
        <f t="shared" ca="1" si="4"/>
        <v>134.5</v>
      </c>
    </row>
    <row r="25" spans="1:25" x14ac:dyDescent="0.3">
      <c r="A25" t="s">
        <v>51</v>
      </c>
      <c r="B25" t="s">
        <v>274</v>
      </c>
      <c r="C25" t="s">
        <v>264</v>
      </c>
      <c r="D25">
        <v>75</v>
      </c>
      <c r="E25">
        <v>7.2</v>
      </c>
      <c r="F25">
        <v>8.6</v>
      </c>
      <c r="G25">
        <v>10.5</v>
      </c>
      <c r="H25">
        <v>12.2</v>
      </c>
      <c r="I25">
        <v>13.4</v>
      </c>
      <c r="J25">
        <v>14</v>
      </c>
      <c r="K25">
        <v>13.6</v>
      </c>
      <c r="L25">
        <v>12.8</v>
      </c>
      <c r="M25">
        <v>11.1</v>
      </c>
      <c r="N25">
        <v>9.4</v>
      </c>
      <c r="O25">
        <v>7.5</v>
      </c>
      <c r="P25">
        <v>7.1</v>
      </c>
      <c r="Q25">
        <v>10.6</v>
      </c>
      <c r="R25" s="3">
        <f t="shared" si="5"/>
        <v>0.3147240618101545</v>
      </c>
      <c r="S25">
        <v>37.779159999999997</v>
      </c>
      <c r="T25">
        <v>-122.42004900000001</v>
      </c>
      <c r="U25">
        <f t="shared" ca="1" si="0"/>
        <v>692654.4</v>
      </c>
      <c r="V25">
        <f t="shared" ca="1" si="1"/>
        <v>618</v>
      </c>
      <c r="W25" s="8">
        <f t="shared" ca="1" si="2"/>
        <v>2.1299999999999999E-2</v>
      </c>
      <c r="X25">
        <f t="shared" ca="1" si="3"/>
        <v>7416</v>
      </c>
      <c r="Y25">
        <f t="shared" ca="1" si="4"/>
        <v>93.4</v>
      </c>
    </row>
    <row r="26" spans="1:25" x14ac:dyDescent="0.3">
      <c r="A26" t="s">
        <v>52</v>
      </c>
      <c r="B26" t="s">
        <v>274</v>
      </c>
      <c r="C26" t="s">
        <v>264</v>
      </c>
      <c r="D26">
        <v>28</v>
      </c>
      <c r="E26">
        <v>6.7</v>
      </c>
      <c r="F26">
        <v>7.5</v>
      </c>
      <c r="G26">
        <v>8.5</v>
      </c>
      <c r="H26">
        <v>9.5</v>
      </c>
      <c r="I26">
        <v>10.4</v>
      </c>
      <c r="J26">
        <v>10.9</v>
      </c>
      <c r="K26">
        <v>11.2</v>
      </c>
      <c r="L26">
        <v>10.5</v>
      </c>
      <c r="M26">
        <v>9.1</v>
      </c>
      <c r="N26">
        <v>7.6</v>
      </c>
      <c r="O26">
        <v>6.3</v>
      </c>
      <c r="P26">
        <v>6.5</v>
      </c>
      <c r="Q26">
        <v>8.6999999999999993</v>
      </c>
      <c r="R26" s="3">
        <f t="shared" si="5"/>
        <v>0.25831125827814566</v>
      </c>
      <c r="S26">
        <v>37.779159999999997</v>
      </c>
      <c r="T26">
        <v>-122.42004900000001</v>
      </c>
      <c r="U26">
        <f t="shared" ca="1" si="0"/>
        <v>979200</v>
      </c>
      <c r="V26">
        <f t="shared" ca="1" si="1"/>
        <v>680</v>
      </c>
      <c r="W26" s="8">
        <f t="shared" ca="1" si="2"/>
        <v>1.17E-2</v>
      </c>
      <c r="X26">
        <f t="shared" ca="1" si="3"/>
        <v>8160</v>
      </c>
      <c r="Y26">
        <f t="shared" ca="1" si="4"/>
        <v>120</v>
      </c>
    </row>
    <row r="27" spans="1:25" x14ac:dyDescent="0.3">
      <c r="A27" t="s">
        <v>53</v>
      </c>
      <c r="B27" t="s">
        <v>274</v>
      </c>
      <c r="C27" t="s">
        <v>264</v>
      </c>
      <c r="D27">
        <v>31</v>
      </c>
      <c r="E27">
        <v>5.0999999999999996</v>
      </c>
      <c r="F27">
        <v>5.9</v>
      </c>
      <c r="G27">
        <v>6.7</v>
      </c>
      <c r="H27">
        <v>7.6</v>
      </c>
      <c r="I27">
        <v>7</v>
      </c>
      <c r="J27">
        <v>6.7</v>
      </c>
      <c r="K27">
        <v>6.5</v>
      </c>
      <c r="L27">
        <v>6.1</v>
      </c>
      <c r="M27">
        <v>5.5</v>
      </c>
      <c r="N27">
        <v>5.5</v>
      </c>
      <c r="O27">
        <v>5.2</v>
      </c>
      <c r="P27">
        <v>4.4000000000000004</v>
      </c>
      <c r="Q27">
        <v>6</v>
      </c>
      <c r="R27" s="3">
        <f t="shared" si="5"/>
        <v>0.17814569536423841</v>
      </c>
      <c r="S27">
        <v>34.419255</v>
      </c>
      <c r="T27">
        <v>-119.698869</v>
      </c>
      <c r="U27">
        <f t="shared" ca="1" si="0"/>
        <v>1277556</v>
      </c>
      <c r="V27">
        <f t="shared" ca="1" si="1"/>
        <v>670</v>
      </c>
      <c r="W27" s="8">
        <f t="shared" ca="1" si="2"/>
        <v>2.2700000000000001E-2</v>
      </c>
      <c r="X27">
        <f t="shared" ca="1" si="3"/>
        <v>8040</v>
      </c>
      <c r="Y27">
        <f t="shared" ca="1" si="4"/>
        <v>158.9</v>
      </c>
    </row>
    <row r="28" spans="1:25" x14ac:dyDescent="0.3">
      <c r="A28" t="s">
        <v>54</v>
      </c>
      <c r="B28" t="s">
        <v>274</v>
      </c>
      <c r="C28" t="s">
        <v>264</v>
      </c>
      <c r="D28">
        <v>22</v>
      </c>
      <c r="E28">
        <v>6.4</v>
      </c>
      <c r="F28">
        <v>7.2</v>
      </c>
      <c r="G28">
        <v>8.1</v>
      </c>
      <c r="H28">
        <v>8</v>
      </c>
      <c r="I28">
        <v>8.1999999999999993</v>
      </c>
      <c r="J28">
        <v>7.8</v>
      </c>
      <c r="K28">
        <v>6.5</v>
      </c>
      <c r="L28">
        <v>6.3</v>
      </c>
      <c r="M28">
        <v>5.9</v>
      </c>
      <c r="N28">
        <v>6</v>
      </c>
      <c r="O28">
        <v>6.4</v>
      </c>
      <c r="P28">
        <v>6.2</v>
      </c>
      <c r="Q28">
        <v>6.9</v>
      </c>
      <c r="R28" s="3">
        <f t="shared" si="5"/>
        <v>0.20486754966887419</v>
      </c>
      <c r="S28">
        <v>34.953130000000002</v>
      </c>
      <c r="T28">
        <v>-120.434994</v>
      </c>
      <c r="U28">
        <f t="shared" ca="1" si="0"/>
        <v>1091059.2</v>
      </c>
      <c r="V28">
        <f t="shared" ca="1" si="1"/>
        <v>656</v>
      </c>
      <c r="W28" s="8">
        <f t="shared" ca="1" si="2"/>
        <v>1.01E-2</v>
      </c>
      <c r="X28">
        <f t="shared" ca="1" si="3"/>
        <v>7872</v>
      </c>
      <c r="Y28">
        <f t="shared" ca="1" si="4"/>
        <v>138.6</v>
      </c>
    </row>
    <row r="29" spans="1:25" x14ac:dyDescent="0.3">
      <c r="A29" t="s">
        <v>55</v>
      </c>
      <c r="B29" t="s">
        <v>274</v>
      </c>
      <c r="C29" t="s">
        <v>264</v>
      </c>
      <c r="D29">
        <v>42</v>
      </c>
      <c r="E29">
        <v>6.7</v>
      </c>
      <c r="F29">
        <v>7</v>
      </c>
      <c r="G29">
        <v>7.7</v>
      </c>
      <c r="H29">
        <v>8.4</v>
      </c>
      <c r="I29">
        <v>9.1999999999999993</v>
      </c>
      <c r="J29">
        <v>9.1999999999999993</v>
      </c>
      <c r="K29">
        <v>8.1999999999999993</v>
      </c>
      <c r="L29">
        <v>7.7</v>
      </c>
      <c r="M29">
        <v>7.1</v>
      </c>
      <c r="N29">
        <v>6.4</v>
      </c>
      <c r="O29">
        <v>5.8</v>
      </c>
      <c r="P29">
        <v>6.4</v>
      </c>
      <c r="Q29">
        <v>7.5</v>
      </c>
      <c r="R29" s="3">
        <f t="shared" si="5"/>
        <v>0.22268211920529801</v>
      </c>
      <c r="S29">
        <v>37.953620000000001</v>
      </c>
      <c r="T29">
        <v>-121.290719</v>
      </c>
      <c r="U29">
        <f t="shared" ca="1" si="0"/>
        <v>873567.60000000009</v>
      </c>
      <c r="V29">
        <f t="shared" ca="1" si="1"/>
        <v>713</v>
      </c>
      <c r="W29" s="8">
        <f t="shared" ca="1" si="2"/>
        <v>2.1700000000000001E-2</v>
      </c>
      <c r="X29">
        <f t="shared" ca="1" si="3"/>
        <v>8556</v>
      </c>
      <c r="Y29">
        <f t="shared" ca="1" si="4"/>
        <v>102.10000000000001</v>
      </c>
    </row>
    <row r="30" spans="1:25" x14ac:dyDescent="0.3">
      <c r="A30" t="s">
        <v>56</v>
      </c>
      <c r="B30" t="s">
        <v>275</v>
      </c>
      <c r="C30" t="s">
        <v>262</v>
      </c>
      <c r="D30">
        <v>11</v>
      </c>
      <c r="E30">
        <v>5.6</v>
      </c>
      <c r="F30">
        <v>6.6</v>
      </c>
      <c r="G30">
        <v>8.4</v>
      </c>
      <c r="H30">
        <v>10.3</v>
      </c>
      <c r="I30">
        <v>9.6999999999999993</v>
      </c>
      <c r="J30">
        <v>9</v>
      </c>
      <c r="K30">
        <v>7</v>
      </c>
      <c r="L30">
        <v>6.2</v>
      </c>
      <c r="M30">
        <v>6.5</v>
      </c>
      <c r="N30">
        <v>6.4</v>
      </c>
      <c r="O30">
        <v>5.6</v>
      </c>
      <c r="P30">
        <v>4.9000000000000004</v>
      </c>
      <c r="Q30">
        <v>7.2</v>
      </c>
      <c r="R30" s="3">
        <f t="shared" si="5"/>
        <v>0.21377483443708609</v>
      </c>
      <c r="S30">
        <v>37.468179999999997</v>
      </c>
      <c r="T30">
        <v>-105.873599</v>
      </c>
      <c r="U30">
        <f t="shared" ca="1" si="0"/>
        <v>1266526.8</v>
      </c>
      <c r="V30">
        <f t="shared" ca="1" si="1"/>
        <v>693</v>
      </c>
      <c r="W30" s="8">
        <f t="shared" ca="1" si="2"/>
        <v>6.8999999999999999E-3</v>
      </c>
      <c r="X30">
        <f t="shared" ca="1" si="3"/>
        <v>8316</v>
      </c>
      <c r="Y30">
        <f t="shared" ca="1" si="4"/>
        <v>152.30000000000001</v>
      </c>
    </row>
    <row r="31" spans="1:25" x14ac:dyDescent="0.3">
      <c r="A31" t="s">
        <v>57</v>
      </c>
      <c r="B31" t="s">
        <v>275</v>
      </c>
      <c r="C31" t="s">
        <v>262</v>
      </c>
      <c r="D31">
        <v>54</v>
      </c>
      <c r="E31">
        <v>9.4</v>
      </c>
      <c r="F31">
        <v>10</v>
      </c>
      <c r="G31">
        <v>11.1</v>
      </c>
      <c r="H31">
        <v>11.6</v>
      </c>
      <c r="I31">
        <v>11.2</v>
      </c>
      <c r="J31">
        <v>10.4</v>
      </c>
      <c r="K31">
        <v>9.3000000000000007</v>
      </c>
      <c r="L31">
        <v>8.9</v>
      </c>
      <c r="M31">
        <v>9.4</v>
      </c>
      <c r="N31">
        <v>9.6</v>
      </c>
      <c r="O31">
        <v>9.5</v>
      </c>
      <c r="P31">
        <v>9.4</v>
      </c>
      <c r="Q31">
        <v>10</v>
      </c>
      <c r="R31" s="3">
        <f t="shared" si="5"/>
        <v>0.2969094922737307</v>
      </c>
      <c r="S31">
        <v>38.833449999999999</v>
      </c>
      <c r="T31">
        <v>-104.821814</v>
      </c>
      <c r="U31">
        <f t="shared" ca="1" si="0"/>
        <v>1123135.2</v>
      </c>
      <c r="V31">
        <f t="shared" ca="1" si="1"/>
        <v>638</v>
      </c>
      <c r="W31" s="8">
        <f t="shared" ca="1" si="2"/>
        <v>1.52E-2</v>
      </c>
      <c r="X31">
        <f t="shared" ca="1" si="3"/>
        <v>7656</v>
      </c>
      <c r="Y31">
        <f t="shared" ca="1" si="4"/>
        <v>146.69999999999999</v>
      </c>
    </row>
    <row r="32" spans="1:25" x14ac:dyDescent="0.3">
      <c r="A32" t="s">
        <v>58</v>
      </c>
      <c r="B32" t="s">
        <v>275</v>
      </c>
      <c r="C32" t="s">
        <v>262</v>
      </c>
      <c r="D32">
        <v>47</v>
      </c>
      <c r="E32">
        <v>8.6</v>
      </c>
      <c r="F32">
        <v>8.6999999999999993</v>
      </c>
      <c r="G32">
        <v>9.6</v>
      </c>
      <c r="H32">
        <v>10</v>
      </c>
      <c r="I32">
        <v>9.3000000000000007</v>
      </c>
      <c r="J32">
        <v>8.8000000000000007</v>
      </c>
      <c r="K32">
        <v>8.3000000000000007</v>
      </c>
      <c r="L32">
        <v>8</v>
      </c>
      <c r="M32">
        <v>7.9</v>
      </c>
      <c r="N32">
        <v>7.8</v>
      </c>
      <c r="O32">
        <v>8.1999999999999993</v>
      </c>
      <c r="P32">
        <v>8.4</v>
      </c>
      <c r="Q32">
        <v>8.6</v>
      </c>
      <c r="R32" s="3">
        <f t="shared" si="5"/>
        <v>0.25534216335540838</v>
      </c>
      <c r="S32">
        <v>39.740009999999998</v>
      </c>
      <c r="T32">
        <v>-104.992259</v>
      </c>
      <c r="U32">
        <f t="shared" ca="1" si="0"/>
        <v>976903.20000000007</v>
      </c>
      <c r="V32">
        <f t="shared" ca="1" si="1"/>
        <v>639</v>
      </c>
      <c r="W32" s="8">
        <f t="shared" ca="1" si="2"/>
        <v>2.23E-2</v>
      </c>
      <c r="X32">
        <f t="shared" ca="1" si="3"/>
        <v>7668</v>
      </c>
      <c r="Y32">
        <f t="shared" ca="1" si="4"/>
        <v>127.4</v>
      </c>
    </row>
    <row r="33" spans="1:25" x14ac:dyDescent="0.3">
      <c r="A33" t="s">
        <v>59</v>
      </c>
      <c r="B33" t="s">
        <v>275</v>
      </c>
      <c r="C33" t="s">
        <v>262</v>
      </c>
      <c r="D33">
        <v>56</v>
      </c>
      <c r="E33">
        <v>5.7</v>
      </c>
      <c r="F33">
        <v>6.7</v>
      </c>
      <c r="G33">
        <v>8.4</v>
      </c>
      <c r="H33">
        <v>9.4</v>
      </c>
      <c r="I33">
        <v>9.6</v>
      </c>
      <c r="J33">
        <v>9.8000000000000007</v>
      </c>
      <c r="K33">
        <v>9.4</v>
      </c>
      <c r="L33">
        <v>9.1</v>
      </c>
      <c r="M33">
        <v>9</v>
      </c>
      <c r="N33">
        <v>7.9</v>
      </c>
      <c r="O33">
        <v>6.8</v>
      </c>
      <c r="P33">
        <v>6</v>
      </c>
      <c r="Q33">
        <v>8.1999999999999993</v>
      </c>
      <c r="R33" s="3">
        <f t="shared" si="5"/>
        <v>0.24346578366445915</v>
      </c>
      <c r="S33">
        <v>39.06879</v>
      </c>
      <c r="T33">
        <v>-108.564454</v>
      </c>
      <c r="U33">
        <f t="shared" ca="1" si="0"/>
        <v>1068410.4000000001</v>
      </c>
      <c r="V33">
        <f t="shared" ca="1" si="1"/>
        <v>734</v>
      </c>
      <c r="W33" s="8">
        <f t="shared" ca="1" si="2"/>
        <v>0.02</v>
      </c>
      <c r="X33">
        <f t="shared" ca="1" si="3"/>
        <v>8808</v>
      </c>
      <c r="Y33">
        <f t="shared" ca="1" si="4"/>
        <v>121.30000000000001</v>
      </c>
    </row>
    <row r="34" spans="1:25" x14ac:dyDescent="0.3">
      <c r="A34" t="s">
        <v>60</v>
      </c>
      <c r="B34" t="s">
        <v>275</v>
      </c>
      <c r="C34" t="s">
        <v>262</v>
      </c>
      <c r="D34">
        <v>47</v>
      </c>
      <c r="E34">
        <v>7.8</v>
      </c>
      <c r="F34">
        <v>8.5</v>
      </c>
      <c r="G34">
        <v>9.6</v>
      </c>
      <c r="H34">
        <v>10.3</v>
      </c>
      <c r="I34">
        <v>9.6999999999999993</v>
      </c>
      <c r="J34">
        <v>9.3000000000000007</v>
      </c>
      <c r="K34">
        <v>8.6999999999999993</v>
      </c>
      <c r="L34">
        <v>7.9</v>
      </c>
      <c r="M34">
        <v>7.9</v>
      </c>
      <c r="N34">
        <v>7.4</v>
      </c>
      <c r="O34">
        <v>7.5</v>
      </c>
      <c r="P34">
        <v>7.7</v>
      </c>
      <c r="Q34">
        <v>8.5</v>
      </c>
      <c r="R34" s="3">
        <f t="shared" si="5"/>
        <v>0.2523730684326711</v>
      </c>
      <c r="S34">
        <v>38.263860000000001</v>
      </c>
      <c r="T34">
        <v>-104.612374</v>
      </c>
      <c r="U34">
        <f t="shared" ca="1" si="0"/>
        <v>686725.2</v>
      </c>
      <c r="V34">
        <f t="shared" ca="1" si="1"/>
        <v>687</v>
      </c>
      <c r="W34" s="8">
        <f t="shared" ca="1" si="2"/>
        <v>2.2700000000000001E-2</v>
      </c>
      <c r="X34">
        <f t="shared" ca="1" si="3"/>
        <v>8244</v>
      </c>
      <c r="Y34">
        <f t="shared" ca="1" si="4"/>
        <v>83.3</v>
      </c>
    </row>
    <row r="35" spans="1:25" x14ac:dyDescent="0.3">
      <c r="A35" t="s">
        <v>61</v>
      </c>
      <c r="B35" t="s">
        <v>276</v>
      </c>
      <c r="C35" t="s">
        <v>265</v>
      </c>
      <c r="D35">
        <v>30</v>
      </c>
      <c r="E35">
        <v>12.5</v>
      </c>
      <c r="F35">
        <v>12.9</v>
      </c>
      <c r="G35">
        <v>13</v>
      </c>
      <c r="H35">
        <v>12.4</v>
      </c>
      <c r="I35">
        <v>11.1</v>
      </c>
      <c r="J35">
        <v>9.9</v>
      </c>
      <c r="K35">
        <v>9.4</v>
      </c>
      <c r="L35">
        <v>9.5</v>
      </c>
      <c r="M35">
        <v>10.5</v>
      </c>
      <c r="N35">
        <v>11.3</v>
      </c>
      <c r="O35">
        <v>12</v>
      </c>
      <c r="P35">
        <v>12.1</v>
      </c>
      <c r="Q35">
        <v>11.4</v>
      </c>
      <c r="R35" s="3">
        <f t="shared" si="5"/>
        <v>0.33847682119205297</v>
      </c>
      <c r="S35">
        <v>41.18188</v>
      </c>
      <c r="T35">
        <v>-73.191269000000005</v>
      </c>
      <c r="U35">
        <f t="shared" ca="1" si="0"/>
        <v>1027291.2000000001</v>
      </c>
      <c r="V35">
        <f t="shared" ca="1" si="1"/>
        <v>652</v>
      </c>
      <c r="W35" s="8">
        <f t="shared" ca="1" si="2"/>
        <v>5.1000000000000004E-3</v>
      </c>
      <c r="X35">
        <f t="shared" ca="1" si="3"/>
        <v>7824</v>
      </c>
      <c r="Y35">
        <f t="shared" ca="1" si="4"/>
        <v>131.30000000000001</v>
      </c>
    </row>
    <row r="36" spans="1:25" x14ac:dyDescent="0.3">
      <c r="A36" t="s">
        <v>62</v>
      </c>
      <c r="B36" t="s">
        <v>276</v>
      </c>
      <c r="C36" t="s">
        <v>265</v>
      </c>
      <c r="D36">
        <v>48</v>
      </c>
      <c r="E36">
        <v>8.9</v>
      </c>
      <c r="F36">
        <v>9.4</v>
      </c>
      <c r="G36">
        <v>9.9</v>
      </c>
      <c r="H36">
        <v>9.8000000000000007</v>
      </c>
      <c r="I36">
        <v>8.6999999999999993</v>
      </c>
      <c r="J36">
        <v>8</v>
      </c>
      <c r="K36">
        <v>7.3</v>
      </c>
      <c r="L36">
        <v>7</v>
      </c>
      <c r="M36">
        <v>7.3</v>
      </c>
      <c r="N36">
        <v>7.8</v>
      </c>
      <c r="O36">
        <v>8.4</v>
      </c>
      <c r="P36">
        <v>8.6999999999999993</v>
      </c>
      <c r="Q36">
        <v>8.4</v>
      </c>
      <c r="R36" s="3">
        <f t="shared" si="5"/>
        <v>0.24940397350993379</v>
      </c>
      <c r="S36">
        <v>41.763325000000002</v>
      </c>
      <c r="T36">
        <v>-72.674069000000003</v>
      </c>
      <c r="U36">
        <f t="shared" ca="1" si="0"/>
        <v>1200096</v>
      </c>
      <c r="V36">
        <f t="shared" ca="1" si="1"/>
        <v>720</v>
      </c>
      <c r="W36" s="8">
        <f t="shared" ca="1" si="2"/>
        <v>1.47E-2</v>
      </c>
      <c r="X36">
        <f t="shared" ca="1" si="3"/>
        <v>8640</v>
      </c>
      <c r="Y36">
        <f t="shared" ca="1" si="4"/>
        <v>138.9</v>
      </c>
    </row>
    <row r="37" spans="1:25" x14ac:dyDescent="0.3">
      <c r="A37" t="s">
        <v>63</v>
      </c>
      <c r="B37" t="s">
        <v>277</v>
      </c>
      <c r="C37" t="s">
        <v>270</v>
      </c>
      <c r="D37">
        <v>54</v>
      </c>
      <c r="E37">
        <v>9.8000000000000007</v>
      </c>
      <c r="F37">
        <v>10.3</v>
      </c>
      <c r="G37">
        <v>11</v>
      </c>
      <c r="H37">
        <v>10.4</v>
      </c>
      <c r="I37">
        <v>9</v>
      </c>
      <c r="J37">
        <v>8.3000000000000007</v>
      </c>
      <c r="K37">
        <v>7.8</v>
      </c>
      <c r="L37">
        <v>7.4</v>
      </c>
      <c r="M37">
        <v>7.8</v>
      </c>
      <c r="N37">
        <v>8.1</v>
      </c>
      <c r="O37">
        <v>9.1999999999999993</v>
      </c>
      <c r="P37">
        <v>9.3000000000000007</v>
      </c>
      <c r="Q37">
        <v>9</v>
      </c>
      <c r="R37" s="3">
        <f t="shared" si="5"/>
        <v>0.26721854304635762</v>
      </c>
      <c r="S37">
        <v>39.740234999999998</v>
      </c>
      <c r="T37">
        <v>-75.550843999999998</v>
      </c>
      <c r="U37">
        <f t="shared" ca="1" si="0"/>
        <v>644007.6</v>
      </c>
      <c r="V37">
        <f t="shared" ca="1" si="1"/>
        <v>619</v>
      </c>
      <c r="W37" s="8">
        <f t="shared" ca="1" si="2"/>
        <v>1.8800000000000001E-2</v>
      </c>
      <c r="X37">
        <f t="shared" ca="1" si="3"/>
        <v>7428</v>
      </c>
      <c r="Y37">
        <f t="shared" ca="1" si="4"/>
        <v>86.7</v>
      </c>
    </row>
    <row r="38" spans="1:25" x14ac:dyDescent="0.3">
      <c r="A38" t="s">
        <v>64</v>
      </c>
      <c r="B38" t="s">
        <v>315</v>
      </c>
      <c r="C38" t="s">
        <v>270</v>
      </c>
      <c r="D38">
        <v>40</v>
      </c>
      <c r="E38">
        <v>8.1</v>
      </c>
      <c r="F38">
        <v>8.6</v>
      </c>
      <c r="G38">
        <v>9</v>
      </c>
      <c r="H38">
        <v>8.8000000000000007</v>
      </c>
      <c r="I38">
        <v>7.4</v>
      </c>
      <c r="J38">
        <v>6.8</v>
      </c>
      <c r="K38">
        <v>6.2</v>
      </c>
      <c r="L38">
        <v>5.8</v>
      </c>
      <c r="M38">
        <v>6.2</v>
      </c>
      <c r="N38">
        <v>6.6</v>
      </c>
      <c r="O38">
        <v>7.6</v>
      </c>
      <c r="P38">
        <v>7.7</v>
      </c>
      <c r="Q38">
        <v>7.4</v>
      </c>
      <c r="R38" s="3">
        <f t="shared" si="5"/>
        <v>0.2197130242825607</v>
      </c>
      <c r="S38">
        <v>38.955582</v>
      </c>
      <c r="T38">
        <v>-77.448409999999996</v>
      </c>
      <c r="U38">
        <f t="shared" ca="1" si="0"/>
        <v>728160</v>
      </c>
      <c r="V38">
        <f t="shared" ca="1" si="1"/>
        <v>656</v>
      </c>
      <c r="W38" s="8">
        <f t="shared" ca="1" si="2"/>
        <v>7.1000000000000004E-3</v>
      </c>
      <c r="X38">
        <f t="shared" ca="1" si="3"/>
        <v>7872</v>
      </c>
      <c r="Y38">
        <f t="shared" ca="1" si="4"/>
        <v>92.5</v>
      </c>
    </row>
    <row r="39" spans="1:25" x14ac:dyDescent="0.3">
      <c r="A39" t="s">
        <v>65</v>
      </c>
      <c r="B39" t="s">
        <v>315</v>
      </c>
      <c r="C39" t="s">
        <v>270</v>
      </c>
      <c r="D39">
        <v>54</v>
      </c>
      <c r="E39">
        <v>10</v>
      </c>
      <c r="F39">
        <v>10.3</v>
      </c>
      <c r="G39">
        <v>10.9</v>
      </c>
      <c r="H39">
        <v>10.5</v>
      </c>
      <c r="I39">
        <v>9.3000000000000007</v>
      </c>
      <c r="J39">
        <v>8.9</v>
      </c>
      <c r="K39">
        <v>8.3000000000000007</v>
      </c>
      <c r="L39">
        <v>8.1</v>
      </c>
      <c r="M39">
        <v>8.3000000000000007</v>
      </c>
      <c r="N39">
        <v>8.6999999999999993</v>
      </c>
      <c r="O39">
        <v>9.4</v>
      </c>
      <c r="P39">
        <v>9.6</v>
      </c>
      <c r="Q39">
        <v>9.4</v>
      </c>
      <c r="R39" s="3">
        <f t="shared" si="5"/>
        <v>0.27909492273730685</v>
      </c>
      <c r="S39">
        <v>38.891311999999999</v>
      </c>
      <c r="T39">
        <v>-77.033653000000001</v>
      </c>
      <c r="U39">
        <f t="shared" ca="1" si="0"/>
        <v>892320</v>
      </c>
      <c r="V39">
        <f t="shared" ca="1" si="1"/>
        <v>676</v>
      </c>
      <c r="W39" s="8">
        <f t="shared" ca="1" si="2"/>
        <v>2.2100000000000002E-2</v>
      </c>
      <c r="X39">
        <f t="shared" ca="1" si="3"/>
        <v>8112</v>
      </c>
      <c r="Y39">
        <f t="shared" ca="1" si="4"/>
        <v>110</v>
      </c>
    </row>
    <row r="40" spans="1:25" x14ac:dyDescent="0.3">
      <c r="A40" t="s">
        <v>66</v>
      </c>
      <c r="B40" t="s">
        <v>278</v>
      </c>
      <c r="C40" t="s">
        <v>270</v>
      </c>
      <c r="D40">
        <v>54</v>
      </c>
      <c r="E40">
        <v>8.3000000000000007</v>
      </c>
      <c r="F40">
        <v>8.6999999999999993</v>
      </c>
      <c r="G40">
        <v>8.9</v>
      </c>
      <c r="H40">
        <v>8.5</v>
      </c>
      <c r="I40">
        <v>7.7</v>
      </c>
      <c r="J40">
        <v>7.1</v>
      </c>
      <c r="K40">
        <v>6.4</v>
      </c>
      <c r="L40">
        <v>6.4</v>
      </c>
      <c r="M40">
        <v>7.8</v>
      </c>
      <c r="N40">
        <v>8</v>
      </c>
      <c r="O40">
        <v>8</v>
      </c>
      <c r="P40">
        <v>8</v>
      </c>
      <c r="Q40">
        <v>7.8</v>
      </c>
      <c r="R40" s="3">
        <f t="shared" si="5"/>
        <v>0.23158940397350997</v>
      </c>
      <c r="S40">
        <v>29.725525000000001</v>
      </c>
      <c r="T40">
        <v>-84.986998999999997</v>
      </c>
      <c r="U40">
        <f t="shared" ca="1" si="0"/>
        <v>1148914.7999999998</v>
      </c>
      <c r="V40">
        <f t="shared" ca="1" si="1"/>
        <v>627</v>
      </c>
      <c r="W40" s="8">
        <f t="shared" ca="1" si="2"/>
        <v>1.12E-2</v>
      </c>
      <c r="X40">
        <f t="shared" ca="1" si="3"/>
        <v>7524</v>
      </c>
      <c r="Y40">
        <f t="shared" ca="1" si="4"/>
        <v>152.69999999999999</v>
      </c>
    </row>
    <row r="41" spans="1:25" x14ac:dyDescent="0.3">
      <c r="A41" t="s">
        <v>67</v>
      </c>
      <c r="B41" t="s">
        <v>278</v>
      </c>
      <c r="C41" t="s">
        <v>270</v>
      </c>
      <c r="D41">
        <v>57</v>
      </c>
      <c r="E41">
        <v>8.8000000000000007</v>
      </c>
      <c r="F41">
        <v>9.3000000000000007</v>
      </c>
      <c r="G41">
        <v>9.8000000000000007</v>
      </c>
      <c r="H41">
        <v>9.4</v>
      </c>
      <c r="I41">
        <v>8.9</v>
      </c>
      <c r="J41">
        <v>8</v>
      </c>
      <c r="K41">
        <v>7.3</v>
      </c>
      <c r="L41">
        <v>7</v>
      </c>
      <c r="M41">
        <v>8</v>
      </c>
      <c r="N41">
        <v>8.9</v>
      </c>
      <c r="O41">
        <v>8.3000000000000007</v>
      </c>
      <c r="P41">
        <v>8.3000000000000007</v>
      </c>
      <c r="Q41">
        <v>8.5</v>
      </c>
      <c r="R41" s="3">
        <f t="shared" si="5"/>
        <v>0.2523730684326711</v>
      </c>
      <c r="S41">
        <v>29.203575000000001</v>
      </c>
      <c r="T41">
        <v>-81.039404000000005</v>
      </c>
      <c r="U41">
        <f t="shared" ca="1" si="0"/>
        <v>937991.99999999988</v>
      </c>
      <c r="V41">
        <f t="shared" ca="1" si="1"/>
        <v>605</v>
      </c>
      <c r="W41" s="8">
        <f t="shared" ca="1" si="2"/>
        <v>6.8999999999999999E-3</v>
      </c>
      <c r="X41">
        <f t="shared" ca="1" si="3"/>
        <v>7260</v>
      </c>
      <c r="Y41">
        <f t="shared" ca="1" si="4"/>
        <v>129.19999999999999</v>
      </c>
    </row>
    <row r="42" spans="1:25" x14ac:dyDescent="0.3">
      <c r="A42" t="s">
        <v>68</v>
      </c>
      <c r="B42" t="s">
        <v>278</v>
      </c>
      <c r="C42" t="s">
        <v>270</v>
      </c>
      <c r="D42">
        <v>57</v>
      </c>
      <c r="E42">
        <v>8.3000000000000007</v>
      </c>
      <c r="F42">
        <v>8.9</v>
      </c>
      <c r="G42">
        <v>9.3000000000000007</v>
      </c>
      <c r="H42">
        <v>8.8000000000000007</v>
      </c>
      <c r="I42">
        <v>8</v>
      </c>
      <c r="J42">
        <v>7.2</v>
      </c>
      <c r="K42">
        <v>6.6</v>
      </c>
      <c r="L42">
        <v>6.7</v>
      </c>
      <c r="M42">
        <v>7.4</v>
      </c>
      <c r="N42">
        <v>8.4</v>
      </c>
      <c r="O42">
        <v>8.1</v>
      </c>
      <c r="P42">
        <v>7.9</v>
      </c>
      <c r="Q42">
        <v>8</v>
      </c>
      <c r="R42" s="3">
        <f t="shared" si="5"/>
        <v>0.23752759381898456</v>
      </c>
      <c r="S42">
        <v>26.640844999999999</v>
      </c>
      <c r="T42">
        <v>-81.868194000000003</v>
      </c>
      <c r="U42">
        <f t="shared" ca="1" si="0"/>
        <v>1198310.3999999999</v>
      </c>
      <c r="V42">
        <f t="shared" ca="1" si="1"/>
        <v>672</v>
      </c>
      <c r="W42" s="8">
        <f t="shared" ca="1" si="2"/>
        <v>1.8100000000000002E-2</v>
      </c>
      <c r="X42">
        <f t="shared" ca="1" si="3"/>
        <v>8064</v>
      </c>
      <c r="Y42">
        <f t="shared" ca="1" si="4"/>
        <v>148.6</v>
      </c>
    </row>
    <row r="43" spans="1:25" x14ac:dyDescent="0.3">
      <c r="A43" t="s">
        <v>69</v>
      </c>
      <c r="B43" t="s">
        <v>278</v>
      </c>
      <c r="C43" t="s">
        <v>270</v>
      </c>
      <c r="D43">
        <v>19</v>
      </c>
      <c r="E43">
        <v>6.9</v>
      </c>
      <c r="F43">
        <v>7.4</v>
      </c>
      <c r="G43">
        <v>7.8</v>
      </c>
      <c r="H43">
        <v>7.2</v>
      </c>
      <c r="I43">
        <v>6.9</v>
      </c>
      <c r="J43">
        <v>6.1</v>
      </c>
      <c r="K43">
        <v>5.6</v>
      </c>
      <c r="L43">
        <v>5.4</v>
      </c>
      <c r="M43">
        <v>5.8</v>
      </c>
      <c r="N43">
        <v>6.3</v>
      </c>
      <c r="O43">
        <v>6.2</v>
      </c>
      <c r="P43">
        <v>6</v>
      </c>
      <c r="Q43">
        <v>6.5</v>
      </c>
      <c r="R43" s="3">
        <f t="shared" si="5"/>
        <v>0.19299116997792495</v>
      </c>
      <c r="S43">
        <v>29.651949999999999</v>
      </c>
      <c r="T43">
        <v>-82.323183999999998</v>
      </c>
      <c r="U43">
        <f t="shared" ca="1" si="0"/>
        <v>848132.4</v>
      </c>
      <c r="V43">
        <f t="shared" ca="1" si="1"/>
        <v>719</v>
      </c>
      <c r="W43" s="8">
        <f t="shared" ca="1" si="2"/>
        <v>1.34E-2</v>
      </c>
      <c r="X43">
        <f t="shared" ca="1" si="3"/>
        <v>8628</v>
      </c>
      <c r="Y43">
        <f t="shared" ca="1" si="4"/>
        <v>98.3</v>
      </c>
    </row>
    <row r="44" spans="1:25" x14ac:dyDescent="0.3">
      <c r="A44" t="s">
        <v>70</v>
      </c>
      <c r="B44" t="s">
        <v>278</v>
      </c>
      <c r="C44" t="s">
        <v>270</v>
      </c>
      <c r="D44">
        <v>53</v>
      </c>
      <c r="E44">
        <v>8.1</v>
      </c>
      <c r="F44">
        <v>8.6999999999999993</v>
      </c>
      <c r="G44">
        <v>9.1</v>
      </c>
      <c r="H44">
        <v>8.5</v>
      </c>
      <c r="I44">
        <v>7.9</v>
      </c>
      <c r="J44">
        <v>7.7</v>
      </c>
      <c r="K44">
        <v>7</v>
      </c>
      <c r="L44">
        <v>6.7</v>
      </c>
      <c r="M44">
        <v>7.4</v>
      </c>
      <c r="N44">
        <v>7.8</v>
      </c>
      <c r="O44">
        <v>7.6</v>
      </c>
      <c r="P44">
        <v>7.6</v>
      </c>
      <c r="Q44">
        <v>7.8</v>
      </c>
      <c r="R44" s="3">
        <f t="shared" si="5"/>
        <v>0.23158940397350997</v>
      </c>
      <c r="S44">
        <v>30.331379999999999</v>
      </c>
      <c r="T44">
        <v>-81.655799000000002</v>
      </c>
      <c r="U44">
        <f t="shared" ca="1" si="0"/>
        <v>834240</v>
      </c>
      <c r="V44">
        <f t="shared" ca="1" si="1"/>
        <v>632</v>
      </c>
      <c r="W44" s="8">
        <f t="shared" ca="1" si="2"/>
        <v>2.0400000000000001E-2</v>
      </c>
      <c r="X44">
        <f t="shared" ca="1" si="3"/>
        <v>7584</v>
      </c>
      <c r="Y44">
        <f t="shared" ca="1" si="4"/>
        <v>110</v>
      </c>
    </row>
    <row r="45" spans="1:25" x14ac:dyDescent="0.3">
      <c r="A45" t="s">
        <v>71</v>
      </c>
      <c r="B45" t="s">
        <v>278</v>
      </c>
      <c r="C45" t="s">
        <v>270</v>
      </c>
      <c r="D45">
        <v>49</v>
      </c>
      <c r="E45">
        <v>11.8</v>
      </c>
      <c r="F45">
        <v>12</v>
      </c>
      <c r="G45">
        <v>12.1</v>
      </c>
      <c r="H45">
        <v>12.2</v>
      </c>
      <c r="I45">
        <v>10.5</v>
      </c>
      <c r="J45">
        <v>9.6</v>
      </c>
      <c r="K45">
        <v>9.4</v>
      </c>
      <c r="L45">
        <v>9.1999999999999993</v>
      </c>
      <c r="M45">
        <v>9.6</v>
      </c>
      <c r="N45">
        <v>10.8</v>
      </c>
      <c r="O45">
        <v>12</v>
      </c>
      <c r="P45">
        <v>11.8</v>
      </c>
      <c r="Q45">
        <v>10.9</v>
      </c>
      <c r="R45" s="3">
        <f t="shared" si="5"/>
        <v>0.32363134657836645</v>
      </c>
      <c r="S45">
        <v>24.554255000000001</v>
      </c>
      <c r="T45">
        <v>-81.800629000000001</v>
      </c>
      <c r="U45">
        <f t="shared" ca="1" si="0"/>
        <v>633264</v>
      </c>
      <c r="V45">
        <f t="shared" ca="1" si="1"/>
        <v>632</v>
      </c>
      <c r="W45" s="8">
        <f t="shared" ca="1" si="2"/>
        <v>1.78E-2</v>
      </c>
      <c r="X45">
        <f t="shared" ca="1" si="3"/>
        <v>7584</v>
      </c>
      <c r="Y45">
        <f t="shared" ca="1" si="4"/>
        <v>83.5</v>
      </c>
    </row>
    <row r="46" spans="1:25" x14ac:dyDescent="0.3">
      <c r="A46" t="s">
        <v>72</v>
      </c>
      <c r="B46" t="s">
        <v>278</v>
      </c>
      <c r="C46" t="s">
        <v>270</v>
      </c>
      <c r="D46">
        <v>53</v>
      </c>
      <c r="E46">
        <v>9.5</v>
      </c>
      <c r="F46">
        <v>10</v>
      </c>
      <c r="G46">
        <v>10.5</v>
      </c>
      <c r="H46">
        <v>10.5</v>
      </c>
      <c r="I46">
        <v>9.5</v>
      </c>
      <c r="J46">
        <v>8.3000000000000007</v>
      </c>
      <c r="K46">
        <v>7.9</v>
      </c>
      <c r="L46">
        <v>7.9</v>
      </c>
      <c r="M46">
        <v>8.1999999999999993</v>
      </c>
      <c r="N46">
        <v>9.1999999999999993</v>
      </c>
      <c r="O46">
        <v>9.6999999999999993</v>
      </c>
      <c r="P46">
        <v>9.1</v>
      </c>
      <c r="Q46">
        <v>9.1999999999999993</v>
      </c>
      <c r="R46" s="3">
        <f t="shared" si="5"/>
        <v>0.27315673289183223</v>
      </c>
      <c r="S46">
        <v>25.728985000000002</v>
      </c>
      <c r="T46">
        <v>-80.237419000000003</v>
      </c>
      <c r="U46">
        <f t="shared" ca="1" si="0"/>
        <v>1201200</v>
      </c>
      <c r="V46">
        <f t="shared" ca="1" si="1"/>
        <v>650</v>
      </c>
      <c r="W46" s="8">
        <f t="shared" ca="1" si="2"/>
        <v>2.3400000000000001E-2</v>
      </c>
      <c r="X46">
        <f t="shared" ca="1" si="3"/>
        <v>7800</v>
      </c>
      <c r="Y46">
        <f t="shared" ca="1" si="4"/>
        <v>154</v>
      </c>
    </row>
    <row r="47" spans="1:25" x14ac:dyDescent="0.3">
      <c r="A47" t="s">
        <v>73</v>
      </c>
      <c r="B47" t="s">
        <v>278</v>
      </c>
      <c r="C47" t="s">
        <v>270</v>
      </c>
      <c r="D47">
        <v>54</v>
      </c>
      <c r="E47">
        <v>9</v>
      </c>
      <c r="F47">
        <v>9.6</v>
      </c>
      <c r="G47">
        <v>9.9</v>
      </c>
      <c r="H47">
        <v>9.4</v>
      </c>
      <c r="I47">
        <v>8.8000000000000007</v>
      </c>
      <c r="J47">
        <v>8</v>
      </c>
      <c r="K47">
        <v>7.3</v>
      </c>
      <c r="L47">
        <v>7.2</v>
      </c>
      <c r="M47">
        <v>7.6</v>
      </c>
      <c r="N47">
        <v>8.6</v>
      </c>
      <c r="O47">
        <v>8.6</v>
      </c>
      <c r="P47">
        <v>8.5</v>
      </c>
      <c r="Q47">
        <v>8.5</v>
      </c>
      <c r="R47" s="3">
        <f t="shared" si="5"/>
        <v>0.2523730684326711</v>
      </c>
      <c r="S47">
        <v>28.538235</v>
      </c>
      <c r="T47">
        <v>-81.377388999999994</v>
      </c>
      <c r="U47">
        <f t="shared" ca="1" si="0"/>
        <v>1024131.6000000001</v>
      </c>
      <c r="V47">
        <f t="shared" ca="1" si="1"/>
        <v>657</v>
      </c>
      <c r="W47" s="8">
        <f t="shared" ca="1" si="2"/>
        <v>1.9099999999999999E-2</v>
      </c>
      <c r="X47">
        <f t="shared" ca="1" si="3"/>
        <v>7884</v>
      </c>
      <c r="Y47">
        <f t="shared" ca="1" si="4"/>
        <v>129.9</v>
      </c>
    </row>
    <row r="48" spans="1:25" x14ac:dyDescent="0.3">
      <c r="A48" t="s">
        <v>74</v>
      </c>
      <c r="B48" t="s">
        <v>278</v>
      </c>
      <c r="C48" t="s">
        <v>270</v>
      </c>
      <c r="D48">
        <v>38</v>
      </c>
      <c r="E48">
        <v>9</v>
      </c>
      <c r="F48">
        <v>9.3000000000000007</v>
      </c>
      <c r="G48">
        <v>9.8000000000000007</v>
      </c>
      <c r="H48">
        <v>9.5</v>
      </c>
      <c r="I48">
        <v>8.6</v>
      </c>
      <c r="J48">
        <v>7.6</v>
      </c>
      <c r="K48">
        <v>6.9</v>
      </c>
      <c r="L48">
        <v>6.7</v>
      </c>
      <c r="M48">
        <v>7.6</v>
      </c>
      <c r="N48">
        <v>7.9</v>
      </c>
      <c r="O48">
        <v>8.1999999999999993</v>
      </c>
      <c r="P48">
        <v>8.8000000000000007</v>
      </c>
      <c r="Q48">
        <v>8.3000000000000007</v>
      </c>
      <c r="R48" s="3">
        <f t="shared" si="5"/>
        <v>0.24643487858719648</v>
      </c>
      <c r="S48">
        <v>30.420845</v>
      </c>
      <c r="T48">
        <v>-87.217239000000006</v>
      </c>
      <c r="U48">
        <f t="shared" ca="1" si="0"/>
        <v>937958.39999999991</v>
      </c>
      <c r="V48">
        <f t="shared" ca="1" si="1"/>
        <v>708</v>
      </c>
      <c r="W48" s="8">
        <f t="shared" ca="1" si="2"/>
        <v>7.1000000000000004E-3</v>
      </c>
      <c r="X48">
        <f t="shared" ca="1" si="3"/>
        <v>8496</v>
      </c>
      <c r="Y48">
        <f t="shared" ca="1" si="4"/>
        <v>110.39999999999999</v>
      </c>
    </row>
    <row r="49" spans="1:25" x14ac:dyDescent="0.3">
      <c r="A49" t="s">
        <v>75</v>
      </c>
      <c r="B49" t="s">
        <v>278</v>
      </c>
      <c r="C49" t="s">
        <v>270</v>
      </c>
      <c r="D49">
        <v>41</v>
      </c>
      <c r="E49">
        <v>6.7</v>
      </c>
      <c r="F49">
        <v>7.1</v>
      </c>
      <c r="G49">
        <v>7.5</v>
      </c>
      <c r="H49">
        <v>6.8</v>
      </c>
      <c r="I49">
        <v>6.2</v>
      </c>
      <c r="J49">
        <v>5.7</v>
      </c>
      <c r="K49">
        <v>5</v>
      </c>
      <c r="L49">
        <v>5</v>
      </c>
      <c r="M49">
        <v>5.9</v>
      </c>
      <c r="N49">
        <v>6.3</v>
      </c>
      <c r="O49">
        <v>5.9</v>
      </c>
      <c r="P49">
        <v>6.3</v>
      </c>
      <c r="Q49">
        <v>6.2</v>
      </c>
      <c r="R49" s="3">
        <f t="shared" si="5"/>
        <v>0.18408388520971303</v>
      </c>
      <c r="S49">
        <v>30.439775000000001</v>
      </c>
      <c r="T49">
        <v>-84.280648999999997</v>
      </c>
      <c r="U49">
        <f t="shared" ca="1" si="0"/>
        <v>683688</v>
      </c>
      <c r="V49">
        <f t="shared" ca="1" si="1"/>
        <v>610</v>
      </c>
      <c r="W49" s="8">
        <f t="shared" ca="1" si="2"/>
        <v>1.66E-2</v>
      </c>
      <c r="X49">
        <f t="shared" ca="1" si="3"/>
        <v>7320</v>
      </c>
      <c r="Y49">
        <f t="shared" ca="1" si="4"/>
        <v>93.4</v>
      </c>
    </row>
    <row r="50" spans="1:25" x14ac:dyDescent="0.3">
      <c r="A50" t="s">
        <v>76</v>
      </c>
      <c r="B50" t="s">
        <v>278</v>
      </c>
      <c r="C50" t="s">
        <v>270</v>
      </c>
      <c r="D50">
        <v>56</v>
      </c>
      <c r="E50">
        <v>8.6</v>
      </c>
      <c r="F50">
        <v>9.1</v>
      </c>
      <c r="G50">
        <v>9.4</v>
      </c>
      <c r="H50">
        <v>9.1999999999999993</v>
      </c>
      <c r="I50">
        <v>8.6</v>
      </c>
      <c r="J50">
        <v>7.9</v>
      </c>
      <c r="K50">
        <v>7.1</v>
      </c>
      <c r="L50">
        <v>6.9</v>
      </c>
      <c r="M50">
        <v>7.6</v>
      </c>
      <c r="N50">
        <v>8.3000000000000007</v>
      </c>
      <c r="O50">
        <v>8.1999999999999993</v>
      </c>
      <c r="P50">
        <v>8.3000000000000007</v>
      </c>
      <c r="Q50">
        <v>8.3000000000000007</v>
      </c>
      <c r="R50" s="3">
        <f t="shared" si="5"/>
        <v>0.24643487858719648</v>
      </c>
      <c r="S50">
        <v>27.946529999999999</v>
      </c>
      <c r="T50">
        <v>-82.459269000000006</v>
      </c>
      <c r="U50">
        <f t="shared" ca="1" si="0"/>
        <v>661710</v>
      </c>
      <c r="V50">
        <f t="shared" ca="1" si="1"/>
        <v>685</v>
      </c>
      <c r="W50" s="8">
        <f t="shared" ca="1" si="2"/>
        <v>9.7999999999999997E-3</v>
      </c>
      <c r="X50">
        <f t="shared" ca="1" si="3"/>
        <v>8220</v>
      </c>
      <c r="Y50">
        <f t="shared" ca="1" si="4"/>
        <v>80.5</v>
      </c>
    </row>
    <row r="51" spans="1:25" x14ac:dyDescent="0.3">
      <c r="A51" t="s">
        <v>77</v>
      </c>
      <c r="B51" t="s">
        <v>278</v>
      </c>
      <c r="C51" t="s">
        <v>270</v>
      </c>
      <c r="D51">
        <v>19</v>
      </c>
      <c r="E51">
        <v>8.6999999999999993</v>
      </c>
      <c r="F51">
        <v>9</v>
      </c>
      <c r="G51">
        <v>9.9</v>
      </c>
      <c r="H51">
        <v>9.5</v>
      </c>
      <c r="I51">
        <v>9.1</v>
      </c>
      <c r="J51">
        <v>7.7</v>
      </c>
      <c r="K51">
        <v>6.9</v>
      </c>
      <c r="L51">
        <v>6.5</v>
      </c>
      <c r="M51">
        <v>7.3</v>
      </c>
      <c r="N51">
        <v>8.6</v>
      </c>
      <c r="O51">
        <v>8.6</v>
      </c>
      <c r="P51">
        <v>8</v>
      </c>
      <c r="Q51">
        <v>8.3000000000000007</v>
      </c>
      <c r="R51" s="3">
        <f t="shared" si="5"/>
        <v>0.24643487858719648</v>
      </c>
      <c r="S51">
        <v>27.638850000000001</v>
      </c>
      <c r="T51">
        <v>-80.394223999999994</v>
      </c>
      <c r="U51">
        <f t="shared" ca="1" si="0"/>
        <v>1115200.8000000003</v>
      </c>
      <c r="V51">
        <f t="shared" ca="1" si="1"/>
        <v>654</v>
      </c>
      <c r="W51" s="8">
        <f t="shared" ca="1" si="2"/>
        <v>1.8700000000000001E-2</v>
      </c>
      <c r="X51">
        <f t="shared" ca="1" si="3"/>
        <v>7848</v>
      </c>
      <c r="Y51">
        <f t="shared" ca="1" si="4"/>
        <v>142.10000000000002</v>
      </c>
    </row>
    <row r="52" spans="1:25" x14ac:dyDescent="0.3">
      <c r="A52" t="s">
        <v>78</v>
      </c>
      <c r="B52" t="s">
        <v>278</v>
      </c>
      <c r="C52" t="s">
        <v>270</v>
      </c>
      <c r="D52">
        <v>60</v>
      </c>
      <c r="E52">
        <v>10.1</v>
      </c>
      <c r="F52">
        <v>10.5</v>
      </c>
      <c r="G52">
        <v>11</v>
      </c>
      <c r="H52">
        <v>10.9</v>
      </c>
      <c r="I52">
        <v>9.9</v>
      </c>
      <c r="J52">
        <v>8.3000000000000007</v>
      </c>
      <c r="K52">
        <v>7.7</v>
      </c>
      <c r="L52">
        <v>7.7</v>
      </c>
      <c r="M52">
        <v>8.6999999999999993</v>
      </c>
      <c r="N52">
        <v>10</v>
      </c>
      <c r="O52">
        <v>10.4</v>
      </c>
      <c r="P52">
        <v>10</v>
      </c>
      <c r="Q52">
        <v>9.6</v>
      </c>
      <c r="R52" s="3">
        <f t="shared" si="5"/>
        <v>0.28503311258278147</v>
      </c>
      <c r="S52">
        <v>26.714388</v>
      </c>
      <c r="T52">
        <v>-80.052689000000001</v>
      </c>
      <c r="U52">
        <f t="shared" ca="1" si="0"/>
        <v>1080643.2</v>
      </c>
      <c r="V52">
        <f t="shared" ca="1" si="1"/>
        <v>728</v>
      </c>
      <c r="W52" s="8">
        <f t="shared" ca="1" si="2"/>
        <v>2.23E-2</v>
      </c>
      <c r="X52">
        <f t="shared" ca="1" si="3"/>
        <v>8736</v>
      </c>
      <c r="Y52">
        <f t="shared" ca="1" si="4"/>
        <v>123.69999999999999</v>
      </c>
    </row>
    <row r="53" spans="1:25" x14ac:dyDescent="0.3">
      <c r="A53" t="s">
        <v>79</v>
      </c>
      <c r="B53" t="s">
        <v>82</v>
      </c>
      <c r="C53" t="s">
        <v>270</v>
      </c>
      <c r="D53">
        <v>47</v>
      </c>
      <c r="E53">
        <v>8.3000000000000007</v>
      </c>
      <c r="F53">
        <v>8.6</v>
      </c>
      <c r="G53">
        <v>8.6999999999999993</v>
      </c>
      <c r="H53">
        <v>8.3000000000000007</v>
      </c>
      <c r="I53">
        <v>7.1</v>
      </c>
      <c r="J53">
        <v>6.6</v>
      </c>
      <c r="K53">
        <v>6.3</v>
      </c>
      <c r="L53">
        <v>5.8</v>
      </c>
      <c r="M53">
        <v>6.4</v>
      </c>
      <c r="N53">
        <v>6.6</v>
      </c>
      <c r="O53">
        <v>7.3</v>
      </c>
      <c r="P53">
        <v>8</v>
      </c>
      <c r="Q53">
        <v>7.3</v>
      </c>
      <c r="R53" s="3">
        <f t="shared" si="5"/>
        <v>0.2167439293598234</v>
      </c>
      <c r="S53">
        <v>33.958131999999999</v>
      </c>
      <c r="T53">
        <v>-83.373255</v>
      </c>
      <c r="U53">
        <f t="shared" ca="1" si="0"/>
        <v>1079545.2</v>
      </c>
      <c r="V53">
        <f t="shared" ca="1" si="1"/>
        <v>661</v>
      </c>
      <c r="W53" s="8">
        <f t="shared" ca="1" si="2"/>
        <v>1.12E-2</v>
      </c>
      <c r="X53">
        <f t="shared" ca="1" si="3"/>
        <v>7932</v>
      </c>
      <c r="Y53">
        <f t="shared" ca="1" si="4"/>
        <v>136.1</v>
      </c>
    </row>
    <row r="54" spans="1:25" x14ac:dyDescent="0.3">
      <c r="A54" t="s">
        <v>80</v>
      </c>
      <c r="B54" t="s">
        <v>82</v>
      </c>
      <c r="C54" t="s">
        <v>270</v>
      </c>
      <c r="D54">
        <v>64</v>
      </c>
      <c r="E54">
        <v>10.4</v>
      </c>
      <c r="F54">
        <v>10.6</v>
      </c>
      <c r="G54">
        <v>10.9</v>
      </c>
      <c r="H54">
        <v>10.1</v>
      </c>
      <c r="I54">
        <v>8.6999999999999993</v>
      </c>
      <c r="J54">
        <v>8.1</v>
      </c>
      <c r="K54">
        <v>7.7</v>
      </c>
      <c r="L54">
        <v>7.3</v>
      </c>
      <c r="M54">
        <v>8</v>
      </c>
      <c r="N54">
        <v>8.5</v>
      </c>
      <c r="O54">
        <v>9.1</v>
      </c>
      <c r="P54">
        <v>9.8000000000000007</v>
      </c>
      <c r="Q54">
        <v>9.1</v>
      </c>
      <c r="R54" s="3">
        <f t="shared" si="5"/>
        <v>0.27018763796909495</v>
      </c>
      <c r="S54">
        <v>33.748314999999998</v>
      </c>
      <c r="T54">
        <v>-84.391109</v>
      </c>
      <c r="U54">
        <f t="shared" ca="1" si="0"/>
        <v>1197340.7999999998</v>
      </c>
      <c r="V54">
        <f t="shared" ca="1" si="1"/>
        <v>653</v>
      </c>
      <c r="W54" s="8">
        <f t="shared" ca="1" si="2"/>
        <v>6.8999999999999999E-3</v>
      </c>
      <c r="X54">
        <f t="shared" ca="1" si="3"/>
        <v>7836</v>
      </c>
      <c r="Y54">
        <f t="shared" ca="1" si="4"/>
        <v>152.79999999999998</v>
      </c>
    </row>
    <row r="55" spans="1:25" x14ac:dyDescent="0.3">
      <c r="A55" t="s">
        <v>81</v>
      </c>
      <c r="B55" t="s">
        <v>82</v>
      </c>
      <c r="C55" t="s">
        <v>270</v>
      </c>
      <c r="D55">
        <v>51</v>
      </c>
      <c r="E55">
        <v>6.9</v>
      </c>
      <c r="F55">
        <v>7.5</v>
      </c>
      <c r="G55">
        <v>7.9</v>
      </c>
      <c r="H55">
        <v>7.4</v>
      </c>
      <c r="I55">
        <v>6.4</v>
      </c>
      <c r="J55">
        <v>6</v>
      </c>
      <c r="K55">
        <v>5.8</v>
      </c>
      <c r="L55">
        <v>5.3</v>
      </c>
      <c r="M55">
        <v>5.4</v>
      </c>
      <c r="N55">
        <v>5.6</v>
      </c>
      <c r="O55">
        <v>5.9</v>
      </c>
      <c r="P55">
        <v>6.5</v>
      </c>
      <c r="Q55">
        <v>6.4</v>
      </c>
      <c r="R55" s="3">
        <f t="shared" si="5"/>
        <v>0.19002207505518764</v>
      </c>
      <c r="S55">
        <v>33.479089999999999</v>
      </c>
      <c r="T55">
        <v>-81.975308999999996</v>
      </c>
      <c r="U55">
        <f t="shared" ca="1" si="0"/>
        <v>820524</v>
      </c>
      <c r="V55">
        <f t="shared" ca="1" si="1"/>
        <v>677</v>
      </c>
      <c r="W55" s="8">
        <f t="shared" ca="1" si="2"/>
        <v>2.2499999999999999E-2</v>
      </c>
      <c r="X55">
        <f t="shared" ca="1" si="3"/>
        <v>8124</v>
      </c>
      <c r="Y55">
        <f t="shared" ca="1" si="4"/>
        <v>101</v>
      </c>
    </row>
    <row r="56" spans="1:25" x14ac:dyDescent="0.3">
      <c r="A56" t="s">
        <v>83</v>
      </c>
      <c r="B56" t="s">
        <v>82</v>
      </c>
      <c r="C56" t="s">
        <v>270</v>
      </c>
      <c r="D56">
        <v>44</v>
      </c>
      <c r="E56">
        <v>7.2</v>
      </c>
      <c r="F56">
        <v>7.7</v>
      </c>
      <c r="G56">
        <v>8</v>
      </c>
      <c r="H56">
        <v>7.2</v>
      </c>
      <c r="I56">
        <v>6.6</v>
      </c>
      <c r="J56">
        <v>6.1</v>
      </c>
      <c r="K56">
        <v>5.8</v>
      </c>
      <c r="L56">
        <v>5.5</v>
      </c>
      <c r="M56">
        <v>6.4</v>
      </c>
      <c r="N56">
        <v>6.3</v>
      </c>
      <c r="O56">
        <v>6.4</v>
      </c>
      <c r="P56">
        <v>6.9</v>
      </c>
      <c r="Q56">
        <v>6.7</v>
      </c>
      <c r="R56" s="3">
        <f t="shared" si="5"/>
        <v>0.19892935982339957</v>
      </c>
      <c r="S56">
        <v>32.462924999999998</v>
      </c>
      <c r="T56">
        <v>-84.987628999999998</v>
      </c>
      <c r="U56">
        <f t="shared" ca="1" si="0"/>
        <v>1070013.6000000001</v>
      </c>
      <c r="V56">
        <f t="shared" ca="1" si="1"/>
        <v>706</v>
      </c>
      <c r="W56" s="8">
        <f t="shared" ca="1" si="2"/>
        <v>1.77E-2</v>
      </c>
      <c r="X56">
        <f t="shared" ca="1" si="3"/>
        <v>8472</v>
      </c>
      <c r="Y56">
        <f t="shared" ca="1" si="4"/>
        <v>126.30000000000001</v>
      </c>
    </row>
    <row r="57" spans="1:25" x14ac:dyDescent="0.3">
      <c r="A57" t="s">
        <v>84</v>
      </c>
      <c r="B57" t="s">
        <v>82</v>
      </c>
      <c r="C57" t="s">
        <v>270</v>
      </c>
      <c r="D57">
        <v>54</v>
      </c>
      <c r="E57">
        <v>8</v>
      </c>
      <c r="F57">
        <v>8.4</v>
      </c>
      <c r="G57">
        <v>8.8000000000000007</v>
      </c>
      <c r="H57">
        <v>8.3000000000000007</v>
      </c>
      <c r="I57">
        <v>7.4</v>
      </c>
      <c r="J57">
        <v>7</v>
      </c>
      <c r="K57">
        <v>6.7</v>
      </c>
      <c r="L57">
        <v>6.2</v>
      </c>
      <c r="M57">
        <v>6.7</v>
      </c>
      <c r="N57">
        <v>6.5</v>
      </c>
      <c r="O57">
        <v>6.9</v>
      </c>
      <c r="P57">
        <v>7.5</v>
      </c>
      <c r="Q57">
        <v>7.4</v>
      </c>
      <c r="R57" s="3">
        <f t="shared" si="5"/>
        <v>0.2197130242825607</v>
      </c>
      <c r="S57">
        <v>32.839685000000003</v>
      </c>
      <c r="T57">
        <v>-83.627578999999997</v>
      </c>
      <c r="U57">
        <f t="shared" ca="1" si="0"/>
        <v>685238.4</v>
      </c>
      <c r="V57">
        <f t="shared" ca="1" si="1"/>
        <v>693</v>
      </c>
      <c r="W57" s="8">
        <f t="shared" ca="1" si="2"/>
        <v>1.6299999999999999E-2</v>
      </c>
      <c r="X57">
        <f t="shared" ca="1" si="3"/>
        <v>8316</v>
      </c>
      <c r="Y57">
        <f t="shared" ca="1" si="4"/>
        <v>82.4</v>
      </c>
    </row>
    <row r="58" spans="1:25" x14ac:dyDescent="0.3">
      <c r="A58" t="s">
        <v>85</v>
      </c>
      <c r="B58" t="s">
        <v>82</v>
      </c>
      <c r="C58" t="s">
        <v>270</v>
      </c>
      <c r="D58">
        <v>52</v>
      </c>
      <c r="E58">
        <v>8.1999999999999993</v>
      </c>
      <c r="F58">
        <v>8.6</v>
      </c>
      <c r="G58">
        <v>9.1</v>
      </c>
      <c r="H58">
        <v>8.6</v>
      </c>
      <c r="I58">
        <v>7.6</v>
      </c>
      <c r="J58">
        <v>7.4</v>
      </c>
      <c r="K58">
        <v>6.9</v>
      </c>
      <c r="L58">
        <v>6.7</v>
      </c>
      <c r="M58">
        <v>7.2</v>
      </c>
      <c r="N58">
        <v>7.3</v>
      </c>
      <c r="O58">
        <v>7.2</v>
      </c>
      <c r="P58">
        <v>7.6</v>
      </c>
      <c r="Q58">
        <v>7.7</v>
      </c>
      <c r="R58" s="3">
        <f t="shared" si="5"/>
        <v>0.22862030905077266</v>
      </c>
      <c r="S58">
        <v>32.080779999999997</v>
      </c>
      <c r="T58">
        <v>-81.090719000000007</v>
      </c>
      <c r="U58">
        <f t="shared" ca="1" si="0"/>
        <v>1285674</v>
      </c>
      <c r="V58">
        <f t="shared" ca="1" si="1"/>
        <v>689</v>
      </c>
      <c r="W58" s="8">
        <f t="shared" ca="1" si="2"/>
        <v>1.7500000000000002E-2</v>
      </c>
      <c r="X58">
        <f t="shared" ca="1" si="3"/>
        <v>8268</v>
      </c>
      <c r="Y58">
        <f t="shared" ca="1" si="4"/>
        <v>155.5</v>
      </c>
    </row>
    <row r="59" spans="1:25" x14ac:dyDescent="0.3">
      <c r="A59" t="s">
        <v>86</v>
      </c>
      <c r="B59" t="s">
        <v>279</v>
      </c>
      <c r="C59" t="s">
        <v>262</v>
      </c>
      <c r="D59">
        <v>63</v>
      </c>
      <c r="E59">
        <v>7.9</v>
      </c>
      <c r="F59">
        <v>8.9</v>
      </c>
      <c r="G59">
        <v>9.9</v>
      </c>
      <c r="H59">
        <v>9.9</v>
      </c>
      <c r="I59">
        <v>9.4</v>
      </c>
      <c r="J59">
        <v>9</v>
      </c>
      <c r="K59">
        <v>8.4</v>
      </c>
      <c r="L59">
        <v>8.1999999999999993</v>
      </c>
      <c r="M59">
        <v>8.1999999999999993</v>
      </c>
      <c r="N59">
        <v>8.3000000000000007</v>
      </c>
      <c r="O59">
        <v>8.4</v>
      </c>
      <c r="P59">
        <v>8.1</v>
      </c>
      <c r="Q59">
        <v>8.6999999999999993</v>
      </c>
      <c r="R59" s="3">
        <f t="shared" si="5"/>
        <v>0.25831125827814566</v>
      </c>
      <c r="S59">
        <v>43.60698</v>
      </c>
      <c r="T59">
        <v>-116.193409</v>
      </c>
      <c r="U59">
        <f t="shared" ca="1" si="0"/>
        <v>1151748</v>
      </c>
      <c r="V59">
        <f t="shared" ca="1" si="1"/>
        <v>690</v>
      </c>
      <c r="W59" s="8">
        <f t="shared" ca="1" si="2"/>
        <v>1.3899999999999999E-2</v>
      </c>
      <c r="X59">
        <f t="shared" ca="1" si="3"/>
        <v>8280</v>
      </c>
      <c r="Y59">
        <f t="shared" ca="1" si="4"/>
        <v>139.1</v>
      </c>
    </row>
    <row r="60" spans="1:25" x14ac:dyDescent="0.3">
      <c r="A60" t="s">
        <v>87</v>
      </c>
      <c r="B60" t="s">
        <v>279</v>
      </c>
      <c r="C60" t="s">
        <v>262</v>
      </c>
      <c r="D60">
        <v>50</v>
      </c>
      <c r="E60">
        <v>10.5</v>
      </c>
      <c r="F60">
        <v>10.5</v>
      </c>
      <c r="G60">
        <v>11.1</v>
      </c>
      <c r="H60">
        <v>11.6</v>
      </c>
      <c r="I60">
        <v>10.5</v>
      </c>
      <c r="J60">
        <v>10.1</v>
      </c>
      <c r="K60">
        <v>9.1</v>
      </c>
      <c r="L60">
        <v>8.9</v>
      </c>
      <c r="M60">
        <v>9</v>
      </c>
      <c r="N60">
        <v>9.5</v>
      </c>
      <c r="O60">
        <v>10.1</v>
      </c>
      <c r="P60">
        <v>9.9</v>
      </c>
      <c r="Q60">
        <v>10.1</v>
      </c>
      <c r="R60" s="3">
        <f t="shared" si="5"/>
        <v>0.29987858719646798</v>
      </c>
      <c r="S60">
        <v>42.874720000000003</v>
      </c>
      <c r="T60">
        <v>-112.450579</v>
      </c>
      <c r="U60">
        <f t="shared" ca="1" si="0"/>
        <v>624069.6</v>
      </c>
      <c r="V60">
        <f t="shared" ca="1" si="1"/>
        <v>614</v>
      </c>
      <c r="W60" s="8">
        <f t="shared" ca="1" si="2"/>
        <v>1.1299999999999999E-2</v>
      </c>
      <c r="X60">
        <f t="shared" ca="1" si="3"/>
        <v>7368</v>
      </c>
      <c r="Y60">
        <f t="shared" ca="1" si="4"/>
        <v>84.7</v>
      </c>
    </row>
    <row r="61" spans="1:25" x14ac:dyDescent="0.3">
      <c r="A61" t="s">
        <v>88</v>
      </c>
      <c r="B61" t="s">
        <v>89</v>
      </c>
      <c r="C61" t="s">
        <v>266</v>
      </c>
      <c r="D61">
        <v>22</v>
      </c>
      <c r="E61">
        <v>9.8000000000000007</v>
      </c>
      <c r="F61">
        <v>9.8000000000000007</v>
      </c>
      <c r="G61">
        <v>10.6</v>
      </c>
      <c r="H61">
        <v>10.199999999999999</v>
      </c>
      <c r="I61">
        <v>8.1999999999999993</v>
      </c>
      <c r="J61">
        <v>7.4</v>
      </c>
      <c r="K61">
        <v>6.5</v>
      </c>
      <c r="L61">
        <v>6.2</v>
      </c>
      <c r="M61">
        <v>7</v>
      </c>
      <c r="N61">
        <v>7.3</v>
      </c>
      <c r="O61">
        <v>9.1</v>
      </c>
      <c r="P61">
        <v>9.3000000000000007</v>
      </c>
      <c r="Q61">
        <v>8.5</v>
      </c>
      <c r="R61" s="3">
        <f t="shared" si="5"/>
        <v>0.2523730684326711</v>
      </c>
      <c r="S61">
        <v>37.005105</v>
      </c>
      <c r="T61">
        <v>-89.176269000000005</v>
      </c>
      <c r="U61">
        <f t="shared" ca="1" si="0"/>
        <v>1034308.8</v>
      </c>
      <c r="V61">
        <f t="shared" ca="1" si="1"/>
        <v>651</v>
      </c>
      <c r="W61" s="8">
        <f t="shared" ca="1" si="2"/>
        <v>1.4200000000000001E-2</v>
      </c>
      <c r="X61">
        <f t="shared" ca="1" si="3"/>
        <v>7812</v>
      </c>
      <c r="Y61">
        <f t="shared" ca="1" si="4"/>
        <v>132.4</v>
      </c>
    </row>
    <row r="62" spans="1:25" x14ac:dyDescent="0.3">
      <c r="A62" t="s">
        <v>90</v>
      </c>
      <c r="B62" t="s">
        <v>89</v>
      </c>
      <c r="C62" t="s">
        <v>266</v>
      </c>
      <c r="D62">
        <v>44</v>
      </c>
      <c r="E62">
        <v>11.6</v>
      </c>
      <c r="F62">
        <v>11.4</v>
      </c>
      <c r="G62">
        <v>11.8</v>
      </c>
      <c r="H62">
        <v>11.9</v>
      </c>
      <c r="I62">
        <v>10.5</v>
      </c>
      <c r="J62">
        <v>9.3000000000000007</v>
      </c>
      <c r="K62">
        <v>8.4</v>
      </c>
      <c r="L62">
        <v>8.1999999999999993</v>
      </c>
      <c r="M62">
        <v>8.9</v>
      </c>
      <c r="N62">
        <v>10.1</v>
      </c>
      <c r="O62">
        <v>11.1</v>
      </c>
      <c r="P62">
        <v>11</v>
      </c>
      <c r="Q62">
        <v>10.3</v>
      </c>
      <c r="R62" s="3">
        <f t="shared" si="5"/>
        <v>0.3058167770419426</v>
      </c>
      <c r="S62">
        <v>41.884149999999998</v>
      </c>
      <c r="T62">
        <v>-87.632408999999996</v>
      </c>
      <c r="U62">
        <f t="shared" ca="1" si="0"/>
        <v>924759.60000000009</v>
      </c>
      <c r="V62">
        <f t="shared" ca="1" si="1"/>
        <v>617</v>
      </c>
      <c r="W62" s="8">
        <f t="shared" ca="1" si="2"/>
        <v>2.2200000000000001E-2</v>
      </c>
      <c r="X62">
        <f t="shared" ca="1" si="3"/>
        <v>7404</v>
      </c>
      <c r="Y62">
        <f t="shared" ca="1" si="4"/>
        <v>124.9</v>
      </c>
    </row>
    <row r="63" spans="1:25" x14ac:dyDescent="0.3">
      <c r="A63" t="s">
        <v>91</v>
      </c>
      <c r="B63" t="s">
        <v>89</v>
      </c>
      <c r="C63" t="s">
        <v>266</v>
      </c>
      <c r="D63">
        <v>59</v>
      </c>
      <c r="E63">
        <v>10.7</v>
      </c>
      <c r="F63">
        <v>10.6</v>
      </c>
      <c r="G63">
        <v>11.7</v>
      </c>
      <c r="H63">
        <v>11.8</v>
      </c>
      <c r="I63">
        <v>10.1</v>
      </c>
      <c r="J63">
        <v>8.8000000000000007</v>
      </c>
      <c r="K63">
        <v>7.5</v>
      </c>
      <c r="L63">
        <v>7.1</v>
      </c>
      <c r="M63">
        <v>8</v>
      </c>
      <c r="N63">
        <v>9.1999999999999993</v>
      </c>
      <c r="O63">
        <v>10.6</v>
      </c>
      <c r="P63">
        <v>10.3</v>
      </c>
      <c r="Q63">
        <v>9.6999999999999993</v>
      </c>
      <c r="R63" s="3">
        <f t="shared" si="5"/>
        <v>0.28800220750551875</v>
      </c>
      <c r="S63">
        <v>41.491733000000004</v>
      </c>
      <c r="T63">
        <v>-90.489898999999994</v>
      </c>
      <c r="U63">
        <f t="shared" ca="1" si="0"/>
        <v>1256400</v>
      </c>
      <c r="V63">
        <f t="shared" ca="1" si="1"/>
        <v>698</v>
      </c>
      <c r="W63" s="8">
        <f t="shared" ca="1" si="2"/>
        <v>2.1600000000000001E-2</v>
      </c>
      <c r="X63">
        <f t="shared" ca="1" si="3"/>
        <v>8376</v>
      </c>
      <c r="Y63">
        <f t="shared" ca="1" si="4"/>
        <v>150</v>
      </c>
    </row>
    <row r="64" spans="1:25" x14ac:dyDescent="0.3">
      <c r="A64" t="s">
        <v>92</v>
      </c>
      <c r="B64" t="s">
        <v>89</v>
      </c>
      <c r="C64" t="s">
        <v>266</v>
      </c>
      <c r="D64">
        <v>59</v>
      </c>
      <c r="E64">
        <v>10.9</v>
      </c>
      <c r="F64">
        <v>10.9</v>
      </c>
      <c r="G64">
        <v>11.7</v>
      </c>
      <c r="H64">
        <v>11.6</v>
      </c>
      <c r="I64">
        <v>9.9</v>
      </c>
      <c r="J64">
        <v>8.9</v>
      </c>
      <c r="K64">
        <v>7.8</v>
      </c>
      <c r="L64">
        <v>7.3</v>
      </c>
      <c r="M64">
        <v>8.3000000000000007</v>
      </c>
      <c r="N64">
        <v>9.3000000000000007</v>
      </c>
      <c r="O64">
        <v>10.6</v>
      </c>
      <c r="P64">
        <v>10.6</v>
      </c>
      <c r="Q64">
        <v>9.8000000000000007</v>
      </c>
      <c r="R64" s="3">
        <f t="shared" si="5"/>
        <v>0.29097130242825614</v>
      </c>
      <c r="S64">
        <v>40.692140000000002</v>
      </c>
      <c r="T64">
        <v>-89.587764000000007</v>
      </c>
      <c r="U64">
        <f t="shared" ca="1" si="0"/>
        <v>1021810.7999999999</v>
      </c>
      <c r="V64">
        <f t="shared" ca="1" si="1"/>
        <v>709</v>
      </c>
      <c r="W64" s="8">
        <f t="shared" ca="1" si="2"/>
        <v>1.9599999999999999E-2</v>
      </c>
      <c r="X64">
        <f t="shared" ca="1" si="3"/>
        <v>8508</v>
      </c>
      <c r="Y64">
        <f t="shared" ca="1" si="4"/>
        <v>120.1</v>
      </c>
    </row>
    <row r="65" spans="1:25" x14ac:dyDescent="0.3">
      <c r="A65" t="s">
        <v>93</v>
      </c>
      <c r="B65" t="s">
        <v>89</v>
      </c>
      <c r="C65" t="s">
        <v>266</v>
      </c>
      <c r="D65">
        <v>52</v>
      </c>
      <c r="E65">
        <v>10.5</v>
      </c>
      <c r="F65">
        <v>10.6</v>
      </c>
      <c r="G65">
        <v>11.6</v>
      </c>
      <c r="H65">
        <v>11.8</v>
      </c>
      <c r="I65">
        <v>10.4</v>
      </c>
      <c r="J65">
        <v>9.3000000000000007</v>
      </c>
      <c r="K65">
        <v>8.1</v>
      </c>
      <c r="L65">
        <v>7.7</v>
      </c>
      <c r="M65">
        <v>8.4</v>
      </c>
      <c r="N65">
        <v>9.5</v>
      </c>
      <c r="O65">
        <v>10.6</v>
      </c>
      <c r="P65">
        <v>10.4</v>
      </c>
      <c r="Q65">
        <v>9.9</v>
      </c>
      <c r="R65" s="3">
        <f t="shared" si="5"/>
        <v>0.29394039735099342</v>
      </c>
      <c r="S65">
        <v>42.2669</v>
      </c>
      <c r="T65">
        <v>-89.078354000000004</v>
      </c>
      <c r="U65">
        <f t="shared" ca="1" si="0"/>
        <v>1006809.6</v>
      </c>
      <c r="V65">
        <f t="shared" ca="1" si="1"/>
        <v>628</v>
      </c>
      <c r="W65" s="8">
        <f t="shared" ca="1" si="2"/>
        <v>1.09E-2</v>
      </c>
      <c r="X65">
        <f t="shared" ca="1" si="3"/>
        <v>7536</v>
      </c>
      <c r="Y65">
        <f t="shared" ca="1" si="4"/>
        <v>133.6</v>
      </c>
    </row>
    <row r="66" spans="1:25" x14ac:dyDescent="0.3">
      <c r="A66" t="s">
        <v>94</v>
      </c>
      <c r="B66" t="s">
        <v>89</v>
      </c>
      <c r="C66" t="s">
        <v>266</v>
      </c>
      <c r="D66">
        <v>55</v>
      </c>
      <c r="E66">
        <v>12.2</v>
      </c>
      <c r="F66">
        <v>12.2</v>
      </c>
      <c r="G66">
        <v>13.2</v>
      </c>
      <c r="H66">
        <v>13</v>
      </c>
      <c r="I66">
        <v>11.1</v>
      </c>
      <c r="J66">
        <v>9.6</v>
      </c>
      <c r="K66">
        <v>8.3000000000000007</v>
      </c>
      <c r="L66">
        <v>7.9</v>
      </c>
      <c r="M66">
        <v>8.6999999999999993</v>
      </c>
      <c r="N66">
        <v>10.1</v>
      </c>
      <c r="O66">
        <v>12.2</v>
      </c>
      <c r="P66">
        <v>12</v>
      </c>
      <c r="Q66">
        <v>10.9</v>
      </c>
      <c r="R66" s="3">
        <f t="shared" si="5"/>
        <v>0.32363134657836645</v>
      </c>
      <c r="S66">
        <v>39.801054999999998</v>
      </c>
      <c r="T66">
        <v>-89.643603999999996</v>
      </c>
      <c r="U66">
        <f t="shared" ca="1" si="0"/>
        <v>966529.2</v>
      </c>
      <c r="V66">
        <f t="shared" ca="1" si="1"/>
        <v>689</v>
      </c>
      <c r="W66" s="8">
        <f t="shared" ca="1" si="2"/>
        <v>7.1000000000000004E-3</v>
      </c>
      <c r="X66">
        <f t="shared" ca="1" si="3"/>
        <v>8268</v>
      </c>
      <c r="Y66">
        <f t="shared" ca="1" si="4"/>
        <v>116.89999999999999</v>
      </c>
    </row>
    <row r="67" spans="1:25" x14ac:dyDescent="0.3">
      <c r="A67" t="s">
        <v>95</v>
      </c>
      <c r="B67" t="s">
        <v>280</v>
      </c>
      <c r="C67" t="s">
        <v>266</v>
      </c>
      <c r="D67">
        <v>62</v>
      </c>
      <c r="E67">
        <v>9.1999999999999993</v>
      </c>
      <c r="F67">
        <v>9.3000000000000007</v>
      </c>
      <c r="G67">
        <v>10</v>
      </c>
      <c r="H67">
        <v>9.6</v>
      </c>
      <c r="I67">
        <v>7.9</v>
      </c>
      <c r="J67">
        <v>7.1</v>
      </c>
      <c r="K67">
        <v>6.2</v>
      </c>
      <c r="L67">
        <v>5.8</v>
      </c>
      <c r="M67">
        <v>6.4</v>
      </c>
      <c r="N67">
        <v>6.9</v>
      </c>
      <c r="O67">
        <v>8.6999999999999993</v>
      </c>
      <c r="P67">
        <v>8.9</v>
      </c>
      <c r="Q67">
        <v>8</v>
      </c>
      <c r="R67" s="3">
        <f t="shared" si="5"/>
        <v>0.23752759381898456</v>
      </c>
      <c r="S67">
        <v>37.976911000000001</v>
      </c>
      <c r="T67">
        <v>-87.564125000000004</v>
      </c>
      <c r="U67">
        <f t="shared" ca="1" si="0"/>
        <v>921690</v>
      </c>
      <c r="V67">
        <f t="shared" ca="1" si="1"/>
        <v>627</v>
      </c>
      <c r="W67" s="8">
        <f t="shared" ca="1" si="2"/>
        <v>5.7000000000000002E-3</v>
      </c>
      <c r="X67">
        <f t="shared" ca="1" si="3"/>
        <v>7524</v>
      </c>
      <c r="Y67">
        <f t="shared" ca="1" si="4"/>
        <v>122.5</v>
      </c>
    </row>
    <row r="68" spans="1:25" x14ac:dyDescent="0.3">
      <c r="A68" t="s">
        <v>96</v>
      </c>
      <c r="B68" t="s">
        <v>280</v>
      </c>
      <c r="C68" t="s">
        <v>266</v>
      </c>
      <c r="D68">
        <v>56</v>
      </c>
      <c r="E68">
        <v>11.5</v>
      </c>
      <c r="F68">
        <v>11</v>
      </c>
      <c r="G68">
        <v>11.7</v>
      </c>
      <c r="H68">
        <v>11.6</v>
      </c>
      <c r="I68">
        <v>10</v>
      </c>
      <c r="J68">
        <v>8.9</v>
      </c>
      <c r="K68">
        <v>8</v>
      </c>
      <c r="L68">
        <v>7.3</v>
      </c>
      <c r="M68">
        <v>8.1999999999999993</v>
      </c>
      <c r="N68">
        <v>9.1</v>
      </c>
      <c r="O68">
        <v>10.9</v>
      </c>
      <c r="P68">
        <v>11.1</v>
      </c>
      <c r="Q68">
        <v>9.9</v>
      </c>
      <c r="R68" s="3">
        <f t="shared" si="5"/>
        <v>0.29394039735099342</v>
      </c>
      <c r="S68">
        <v>41.075524999999999</v>
      </c>
      <c r="T68">
        <v>-85.099063999999998</v>
      </c>
      <c r="U68">
        <f t="shared" ref="U68:U131" ca="1" si="6">Y68*X68</f>
        <v>1022736</v>
      </c>
      <c r="V68">
        <f t="shared" ref="V68:V131" ca="1" si="7">RANDBETWEEN(603,737)</f>
        <v>715</v>
      </c>
      <c r="W68" s="8">
        <f t="shared" ref="W68:W131" ca="1" si="8">ROUND(RAND()*2%+0.5%,4)</f>
        <v>2.2499999999999999E-2</v>
      </c>
      <c r="X68">
        <f t="shared" ref="X68:X131" ca="1" si="9">V68*12</f>
        <v>8580</v>
      </c>
      <c r="Y68">
        <f t="shared" ref="Y68:Y131" ca="1" si="10">ROUND(RAND()*8+8,2)*10</f>
        <v>119.2</v>
      </c>
    </row>
    <row r="69" spans="1:25" x14ac:dyDescent="0.3">
      <c r="A69" t="s">
        <v>97</v>
      </c>
      <c r="B69" t="s">
        <v>280</v>
      </c>
      <c r="C69" t="s">
        <v>266</v>
      </c>
      <c r="D69">
        <v>54</v>
      </c>
      <c r="E69">
        <v>10.9</v>
      </c>
      <c r="F69">
        <v>10.8</v>
      </c>
      <c r="G69">
        <v>11.6</v>
      </c>
      <c r="H69">
        <v>11.2</v>
      </c>
      <c r="I69">
        <v>9.6</v>
      </c>
      <c r="J69">
        <v>8.5</v>
      </c>
      <c r="K69">
        <v>7.5</v>
      </c>
      <c r="L69">
        <v>7.2</v>
      </c>
      <c r="M69">
        <v>7.9</v>
      </c>
      <c r="N69">
        <v>8.9</v>
      </c>
      <c r="O69">
        <v>10.5</v>
      </c>
      <c r="P69">
        <v>10.5</v>
      </c>
      <c r="Q69">
        <v>9.6</v>
      </c>
      <c r="R69" s="3">
        <f t="shared" ref="R69:R132" si="11">Q69*(0.269)/9.06</f>
        <v>0.28503311258278147</v>
      </c>
      <c r="S69">
        <v>39.766910000000003</v>
      </c>
      <c r="T69">
        <v>-86.149963999999997</v>
      </c>
      <c r="U69">
        <f t="shared" ca="1" si="6"/>
        <v>748699.20000000007</v>
      </c>
      <c r="V69">
        <f t="shared" ca="1" si="7"/>
        <v>636</v>
      </c>
      <c r="W69" s="8">
        <f t="shared" ca="1" si="8"/>
        <v>1.4E-2</v>
      </c>
      <c r="X69">
        <f t="shared" ca="1" si="9"/>
        <v>7632</v>
      </c>
      <c r="Y69">
        <f t="shared" ca="1" si="10"/>
        <v>98.100000000000009</v>
      </c>
    </row>
    <row r="70" spans="1:25" x14ac:dyDescent="0.3">
      <c r="A70" t="s">
        <v>98</v>
      </c>
      <c r="B70" t="s">
        <v>280</v>
      </c>
      <c r="C70" t="s">
        <v>266</v>
      </c>
      <c r="D70">
        <v>54</v>
      </c>
      <c r="E70">
        <v>11.9</v>
      </c>
      <c r="F70">
        <v>11.2</v>
      </c>
      <c r="G70">
        <v>11.9</v>
      </c>
      <c r="H70">
        <v>11.6</v>
      </c>
      <c r="I70">
        <v>10.199999999999999</v>
      </c>
      <c r="J70">
        <v>9.1</v>
      </c>
      <c r="K70">
        <v>8.1</v>
      </c>
      <c r="L70">
        <v>7.7</v>
      </c>
      <c r="M70">
        <v>8.5</v>
      </c>
      <c r="N70">
        <v>9.5</v>
      </c>
      <c r="O70">
        <v>11</v>
      </c>
      <c r="P70">
        <v>11.2</v>
      </c>
      <c r="Q70">
        <v>10.199999999999999</v>
      </c>
      <c r="R70" s="3">
        <f t="shared" si="11"/>
        <v>0.30284768211920526</v>
      </c>
      <c r="S70">
        <v>41.679057999999998</v>
      </c>
      <c r="T70">
        <v>-86.254043999999993</v>
      </c>
      <c r="U70">
        <f t="shared" ca="1" si="6"/>
        <v>988828.79999999993</v>
      </c>
      <c r="V70">
        <f t="shared" ca="1" si="7"/>
        <v>664</v>
      </c>
      <c r="W70" s="8">
        <f t="shared" ca="1" si="8"/>
        <v>1.6199999999999999E-2</v>
      </c>
      <c r="X70">
        <f t="shared" ca="1" si="9"/>
        <v>7968</v>
      </c>
      <c r="Y70">
        <f t="shared" ca="1" si="10"/>
        <v>124.1</v>
      </c>
    </row>
    <row r="71" spans="1:25" x14ac:dyDescent="0.3">
      <c r="A71" t="s">
        <v>99</v>
      </c>
      <c r="B71" t="s">
        <v>281</v>
      </c>
      <c r="C71" t="s">
        <v>269</v>
      </c>
      <c r="D71">
        <v>53</v>
      </c>
      <c r="E71">
        <v>11.4</v>
      </c>
      <c r="F71">
        <v>11.2</v>
      </c>
      <c r="G71">
        <v>12.4</v>
      </c>
      <c r="H71">
        <v>12.6</v>
      </c>
      <c r="I71">
        <v>11</v>
      </c>
      <c r="J71">
        <v>10.1</v>
      </c>
      <c r="K71">
        <v>8.9</v>
      </c>
      <c r="L71">
        <v>8.6</v>
      </c>
      <c r="M71">
        <v>9.4</v>
      </c>
      <c r="N71">
        <v>10.3</v>
      </c>
      <c r="O71">
        <v>11.3</v>
      </c>
      <c r="P71">
        <v>11.1</v>
      </c>
      <c r="Q71">
        <v>10.7</v>
      </c>
      <c r="R71" s="3">
        <f t="shared" si="11"/>
        <v>0.31769315673289178</v>
      </c>
      <c r="S71">
        <v>41.589790000000001</v>
      </c>
      <c r="T71">
        <v>-93.615658999999994</v>
      </c>
      <c r="U71">
        <f t="shared" ca="1" si="6"/>
        <v>1027462.7999999999</v>
      </c>
      <c r="V71">
        <f t="shared" ca="1" si="7"/>
        <v>679</v>
      </c>
      <c r="W71" s="8">
        <f t="shared" ca="1" si="8"/>
        <v>1.7399999999999999E-2</v>
      </c>
      <c r="X71">
        <f t="shared" ca="1" si="9"/>
        <v>8148</v>
      </c>
      <c r="Y71">
        <f t="shared" ca="1" si="10"/>
        <v>126.1</v>
      </c>
    </row>
    <row r="72" spans="1:25" x14ac:dyDescent="0.3">
      <c r="A72" t="s">
        <v>100</v>
      </c>
      <c r="B72" t="s">
        <v>281</v>
      </c>
      <c r="C72" t="s">
        <v>269</v>
      </c>
      <c r="D72">
        <v>61</v>
      </c>
      <c r="E72">
        <v>11.4</v>
      </c>
      <c r="F72">
        <v>11.2</v>
      </c>
      <c r="G72">
        <v>12.3</v>
      </c>
      <c r="H72">
        <v>13.2</v>
      </c>
      <c r="I72">
        <v>11.8</v>
      </c>
      <c r="J72">
        <v>10.7</v>
      </c>
      <c r="K72">
        <v>9.1999999999999993</v>
      </c>
      <c r="L72">
        <v>9.1</v>
      </c>
      <c r="M72">
        <v>9.9</v>
      </c>
      <c r="N72">
        <v>10.5</v>
      </c>
      <c r="O72">
        <v>11.4</v>
      </c>
      <c r="P72">
        <v>11</v>
      </c>
      <c r="Q72">
        <v>11</v>
      </c>
      <c r="R72" s="3">
        <f t="shared" si="11"/>
        <v>0.32660044150110373</v>
      </c>
      <c r="S72">
        <v>42.499809999999997</v>
      </c>
      <c r="T72">
        <v>-96.420944000000006</v>
      </c>
      <c r="U72">
        <f t="shared" ca="1" si="6"/>
        <v>711048</v>
      </c>
      <c r="V72">
        <f t="shared" ca="1" si="7"/>
        <v>689</v>
      </c>
      <c r="W72" s="8">
        <f t="shared" ca="1" si="8"/>
        <v>1.15E-2</v>
      </c>
      <c r="X72">
        <f t="shared" ca="1" si="9"/>
        <v>8268</v>
      </c>
      <c r="Y72">
        <f t="shared" ca="1" si="10"/>
        <v>86</v>
      </c>
    </row>
    <row r="73" spans="1:25" x14ac:dyDescent="0.3">
      <c r="A73" t="s">
        <v>101</v>
      </c>
      <c r="B73" t="s">
        <v>281</v>
      </c>
      <c r="C73" t="s">
        <v>269</v>
      </c>
      <c r="D73">
        <v>46</v>
      </c>
      <c r="E73">
        <v>11.4</v>
      </c>
      <c r="F73">
        <v>11.4</v>
      </c>
      <c r="G73">
        <v>12.1</v>
      </c>
      <c r="H73">
        <v>12.6</v>
      </c>
      <c r="I73">
        <v>11.1</v>
      </c>
      <c r="J73">
        <v>9.8000000000000007</v>
      </c>
      <c r="K73">
        <v>8.4</v>
      </c>
      <c r="L73">
        <v>8.3000000000000007</v>
      </c>
      <c r="M73">
        <v>9</v>
      </c>
      <c r="N73">
        <v>10.199999999999999</v>
      </c>
      <c r="O73">
        <v>11</v>
      </c>
      <c r="P73">
        <v>11</v>
      </c>
      <c r="Q73">
        <v>10.5</v>
      </c>
      <c r="R73" s="3">
        <f t="shared" si="11"/>
        <v>0.31175496688741722</v>
      </c>
      <c r="S73">
        <v>42.493104000000002</v>
      </c>
      <c r="T73">
        <v>-92.342155000000005</v>
      </c>
      <c r="U73">
        <f t="shared" ca="1" si="6"/>
        <v>635299.20000000007</v>
      </c>
      <c r="V73">
        <f t="shared" ca="1" si="7"/>
        <v>648</v>
      </c>
      <c r="W73" s="8">
        <f t="shared" ca="1" si="8"/>
        <v>9.4999999999999998E-3</v>
      </c>
      <c r="X73">
        <f t="shared" ca="1" si="9"/>
        <v>7776</v>
      </c>
      <c r="Y73">
        <f t="shared" ca="1" si="10"/>
        <v>81.7</v>
      </c>
    </row>
    <row r="74" spans="1:25" x14ac:dyDescent="0.3">
      <c r="A74" t="s">
        <v>102</v>
      </c>
      <c r="B74" t="s">
        <v>282</v>
      </c>
      <c r="C74" t="s">
        <v>269</v>
      </c>
      <c r="D74">
        <v>40</v>
      </c>
      <c r="E74">
        <v>11.7</v>
      </c>
      <c r="F74">
        <v>12.1</v>
      </c>
      <c r="G74">
        <v>13.4</v>
      </c>
      <c r="H74">
        <v>13.8</v>
      </c>
      <c r="I74">
        <v>12.1</v>
      </c>
      <c r="J74">
        <v>11.7</v>
      </c>
      <c r="K74">
        <v>11.3</v>
      </c>
      <c r="L74">
        <v>10.9</v>
      </c>
      <c r="M74">
        <v>11.2</v>
      </c>
      <c r="N74">
        <v>11.6</v>
      </c>
      <c r="O74">
        <v>11.8</v>
      </c>
      <c r="P74">
        <v>11.5</v>
      </c>
      <c r="Q74">
        <v>11.9</v>
      </c>
      <c r="R74" s="3">
        <f t="shared" si="11"/>
        <v>0.35332229580573954</v>
      </c>
      <c r="S74">
        <v>39.571019999999997</v>
      </c>
      <c r="T74">
        <v>-97.657469000000006</v>
      </c>
      <c r="U74">
        <f t="shared" ca="1" si="6"/>
        <v>963789.60000000009</v>
      </c>
      <c r="V74">
        <f t="shared" ca="1" si="7"/>
        <v>626</v>
      </c>
      <c r="W74" s="8">
        <f t="shared" ca="1" si="8"/>
        <v>1.34E-2</v>
      </c>
      <c r="X74">
        <f t="shared" ca="1" si="9"/>
        <v>7512</v>
      </c>
      <c r="Y74">
        <f t="shared" ca="1" si="10"/>
        <v>128.30000000000001</v>
      </c>
    </row>
    <row r="75" spans="1:25" x14ac:dyDescent="0.3">
      <c r="A75" t="s">
        <v>103</v>
      </c>
      <c r="B75" t="s">
        <v>282</v>
      </c>
      <c r="C75" t="s">
        <v>269</v>
      </c>
      <c r="D75">
        <v>60</v>
      </c>
      <c r="E75">
        <v>13.5</v>
      </c>
      <c r="F75">
        <v>13.9</v>
      </c>
      <c r="G75">
        <v>15.5</v>
      </c>
      <c r="H75">
        <v>15.5</v>
      </c>
      <c r="I75">
        <v>14.6</v>
      </c>
      <c r="J75">
        <v>14</v>
      </c>
      <c r="K75">
        <v>13.1</v>
      </c>
      <c r="L75">
        <v>12.5</v>
      </c>
      <c r="M75">
        <v>13.5</v>
      </c>
      <c r="N75">
        <v>13.5</v>
      </c>
      <c r="O75">
        <v>13.7</v>
      </c>
      <c r="P75">
        <v>13.4</v>
      </c>
      <c r="Q75">
        <v>13.9</v>
      </c>
      <c r="R75" s="3">
        <f t="shared" si="11"/>
        <v>0.41270419426048571</v>
      </c>
      <c r="S75">
        <v>37.752643999999997</v>
      </c>
      <c r="T75">
        <v>-100.01869499999999</v>
      </c>
      <c r="U75">
        <f t="shared" ca="1" si="6"/>
        <v>1306736.4000000001</v>
      </c>
      <c r="V75">
        <f t="shared" ca="1" si="7"/>
        <v>703</v>
      </c>
      <c r="W75" s="8">
        <f t="shared" ca="1" si="8"/>
        <v>9.4000000000000004E-3</v>
      </c>
      <c r="X75">
        <f t="shared" ca="1" si="9"/>
        <v>8436</v>
      </c>
      <c r="Y75">
        <f t="shared" ca="1" si="10"/>
        <v>154.9</v>
      </c>
    </row>
    <row r="76" spans="1:25" x14ac:dyDescent="0.3">
      <c r="A76" t="s">
        <v>104</v>
      </c>
      <c r="B76" t="s">
        <v>282</v>
      </c>
      <c r="C76" t="s">
        <v>269</v>
      </c>
      <c r="D76">
        <v>54</v>
      </c>
      <c r="E76">
        <v>12.4</v>
      </c>
      <c r="F76">
        <v>12.4</v>
      </c>
      <c r="G76">
        <v>14</v>
      </c>
      <c r="H76">
        <v>14.4</v>
      </c>
      <c r="I76">
        <v>13.5</v>
      </c>
      <c r="J76">
        <v>12.7</v>
      </c>
      <c r="K76">
        <v>11.9</v>
      </c>
      <c r="L76">
        <v>11.5</v>
      </c>
      <c r="M76">
        <v>12</v>
      </c>
      <c r="N76">
        <v>11.9</v>
      </c>
      <c r="O76">
        <v>11.9</v>
      </c>
      <c r="P76">
        <v>11.9</v>
      </c>
      <c r="Q76">
        <v>12.5</v>
      </c>
      <c r="R76" s="3">
        <f t="shared" si="11"/>
        <v>0.37113686534216339</v>
      </c>
      <c r="S76">
        <v>39.365729999999999</v>
      </c>
      <c r="T76">
        <v>-101.711974</v>
      </c>
      <c r="U76">
        <f t="shared" ca="1" si="6"/>
        <v>1411200</v>
      </c>
      <c r="V76">
        <f t="shared" ca="1" si="7"/>
        <v>735</v>
      </c>
      <c r="W76" s="8">
        <f t="shared" ca="1" si="8"/>
        <v>2.01E-2</v>
      </c>
      <c r="X76">
        <f t="shared" ca="1" si="9"/>
        <v>8820</v>
      </c>
      <c r="Y76">
        <f t="shared" ca="1" si="10"/>
        <v>160</v>
      </c>
    </row>
    <row r="77" spans="1:25" x14ac:dyDescent="0.3">
      <c r="A77" t="s">
        <v>105</v>
      </c>
      <c r="B77" t="s">
        <v>282</v>
      </c>
      <c r="C77" t="s">
        <v>269</v>
      </c>
      <c r="D77">
        <v>53</v>
      </c>
      <c r="E77">
        <v>9.6999999999999993</v>
      </c>
      <c r="F77">
        <v>10.199999999999999</v>
      </c>
      <c r="G77">
        <v>11.5</v>
      </c>
      <c r="H77">
        <v>11.7</v>
      </c>
      <c r="I77">
        <v>10.199999999999999</v>
      </c>
      <c r="J77">
        <v>9.4</v>
      </c>
      <c r="K77">
        <v>8.4</v>
      </c>
      <c r="L77">
        <v>8</v>
      </c>
      <c r="M77">
        <v>8.5</v>
      </c>
      <c r="N77">
        <v>9</v>
      </c>
      <c r="O77">
        <v>9.6999999999999993</v>
      </c>
      <c r="P77">
        <v>9.5</v>
      </c>
      <c r="Q77">
        <v>9.6</v>
      </c>
      <c r="R77" s="3">
        <f t="shared" si="11"/>
        <v>0.28503311258278147</v>
      </c>
      <c r="S77">
        <v>39.049284999999998</v>
      </c>
      <c r="T77">
        <v>-95.671183999999997</v>
      </c>
      <c r="U77">
        <f t="shared" ca="1" si="6"/>
        <v>759249.59999999986</v>
      </c>
      <c r="V77">
        <f t="shared" ca="1" si="7"/>
        <v>734</v>
      </c>
      <c r="W77" s="8">
        <f t="shared" ca="1" si="8"/>
        <v>1.2200000000000001E-2</v>
      </c>
      <c r="X77">
        <f t="shared" ca="1" si="9"/>
        <v>8808</v>
      </c>
      <c r="Y77">
        <f t="shared" ca="1" si="10"/>
        <v>86.199999999999989</v>
      </c>
    </row>
    <row r="78" spans="1:25" x14ac:dyDescent="0.3">
      <c r="A78" t="s">
        <v>106</v>
      </c>
      <c r="B78" t="s">
        <v>282</v>
      </c>
      <c r="C78" t="s">
        <v>269</v>
      </c>
      <c r="D78">
        <v>49</v>
      </c>
      <c r="E78">
        <v>12</v>
      </c>
      <c r="F78">
        <v>12.5</v>
      </c>
      <c r="G78">
        <v>13.8</v>
      </c>
      <c r="H78">
        <v>14</v>
      </c>
      <c r="I78">
        <v>12.3</v>
      </c>
      <c r="J78">
        <v>12.2</v>
      </c>
      <c r="K78">
        <v>11.3</v>
      </c>
      <c r="L78">
        <v>11.1</v>
      </c>
      <c r="M78">
        <v>11.6</v>
      </c>
      <c r="N78">
        <v>11.9</v>
      </c>
      <c r="O78">
        <v>12.1</v>
      </c>
      <c r="P78">
        <v>11.7</v>
      </c>
      <c r="Q78">
        <v>12.2</v>
      </c>
      <c r="R78" s="3">
        <f t="shared" si="11"/>
        <v>0.36222958057395144</v>
      </c>
      <c r="S78">
        <v>37.686979999999998</v>
      </c>
      <c r="T78">
        <v>-97.335578999999996</v>
      </c>
      <c r="U78">
        <f t="shared" ca="1" si="6"/>
        <v>860956.79999999993</v>
      </c>
      <c r="V78">
        <f t="shared" ca="1" si="7"/>
        <v>682</v>
      </c>
      <c r="W78" s="8">
        <f t="shared" ca="1" si="8"/>
        <v>2.2499999999999999E-2</v>
      </c>
      <c r="X78">
        <f t="shared" ca="1" si="9"/>
        <v>8184</v>
      </c>
      <c r="Y78">
        <f t="shared" ca="1" si="10"/>
        <v>105.19999999999999</v>
      </c>
    </row>
    <row r="79" spans="1:25" x14ac:dyDescent="0.3">
      <c r="A79" t="s">
        <v>107</v>
      </c>
      <c r="B79" t="s">
        <v>267</v>
      </c>
      <c r="C79" t="s">
        <v>261</v>
      </c>
      <c r="D79">
        <v>21</v>
      </c>
      <c r="E79">
        <v>7.3</v>
      </c>
      <c r="F79">
        <v>7.4</v>
      </c>
      <c r="G79">
        <v>7.6</v>
      </c>
      <c r="H79">
        <v>7.7</v>
      </c>
      <c r="I79">
        <v>6</v>
      </c>
      <c r="J79">
        <v>5.3</v>
      </c>
      <c r="K79">
        <v>5</v>
      </c>
      <c r="L79">
        <v>4.5999999999999996</v>
      </c>
      <c r="M79">
        <v>5.3</v>
      </c>
      <c r="N79">
        <v>6</v>
      </c>
      <c r="O79">
        <v>7</v>
      </c>
      <c r="P79">
        <v>7.1</v>
      </c>
      <c r="Q79">
        <v>6.4</v>
      </c>
      <c r="R79" s="3">
        <f t="shared" si="11"/>
        <v>0.19002207505518764</v>
      </c>
      <c r="S79">
        <v>37.558101000000001</v>
      </c>
      <c r="T79">
        <v>-83.378013999999993</v>
      </c>
      <c r="U79">
        <f t="shared" ca="1" si="6"/>
        <v>705242.4</v>
      </c>
      <c r="V79">
        <f t="shared" ca="1" si="7"/>
        <v>643</v>
      </c>
      <c r="W79" s="8">
        <f t="shared" ca="1" si="8"/>
        <v>2.4199999999999999E-2</v>
      </c>
      <c r="X79">
        <f t="shared" ca="1" si="9"/>
        <v>7716</v>
      </c>
      <c r="Y79">
        <f t="shared" ca="1" si="10"/>
        <v>91.4</v>
      </c>
    </row>
    <row r="80" spans="1:25" x14ac:dyDescent="0.3">
      <c r="A80" t="s">
        <v>108</v>
      </c>
      <c r="B80" t="s">
        <v>267</v>
      </c>
      <c r="C80" t="s">
        <v>261</v>
      </c>
      <c r="D80">
        <v>55</v>
      </c>
      <c r="E80">
        <v>10.6</v>
      </c>
      <c r="F80">
        <v>10.6</v>
      </c>
      <c r="G80">
        <v>10.9</v>
      </c>
      <c r="H80">
        <v>10.4</v>
      </c>
      <c r="I80">
        <v>8.6</v>
      </c>
      <c r="J80">
        <v>7.9</v>
      </c>
      <c r="K80">
        <v>7.2</v>
      </c>
      <c r="L80">
        <v>6.8</v>
      </c>
      <c r="M80">
        <v>7.6</v>
      </c>
      <c r="N80">
        <v>8.1</v>
      </c>
      <c r="O80">
        <v>9.9</v>
      </c>
      <c r="P80">
        <v>10.3</v>
      </c>
      <c r="Q80">
        <v>9.1</v>
      </c>
      <c r="R80" s="3">
        <f t="shared" si="11"/>
        <v>0.27018763796909495</v>
      </c>
      <c r="S80">
        <v>38.048594999999999</v>
      </c>
      <c r="T80">
        <v>-84.500319000000005</v>
      </c>
      <c r="U80">
        <f t="shared" ca="1" si="6"/>
        <v>914284.79999999993</v>
      </c>
      <c r="V80">
        <f t="shared" ca="1" si="7"/>
        <v>666</v>
      </c>
      <c r="W80" s="8">
        <f t="shared" ca="1" si="8"/>
        <v>7.0000000000000001E-3</v>
      </c>
      <c r="X80">
        <f t="shared" ca="1" si="9"/>
        <v>7992</v>
      </c>
      <c r="Y80">
        <f t="shared" ca="1" si="10"/>
        <v>114.39999999999999</v>
      </c>
    </row>
    <row r="81" spans="1:25" x14ac:dyDescent="0.3">
      <c r="A81" t="s">
        <v>109</v>
      </c>
      <c r="B81" t="s">
        <v>267</v>
      </c>
      <c r="C81" t="s">
        <v>261</v>
      </c>
      <c r="D81">
        <v>55</v>
      </c>
      <c r="E81">
        <v>9.5</v>
      </c>
      <c r="F81">
        <v>9.5</v>
      </c>
      <c r="G81">
        <v>10.1</v>
      </c>
      <c r="H81">
        <v>9.6999999999999993</v>
      </c>
      <c r="I81">
        <v>8</v>
      </c>
      <c r="J81">
        <v>7.4</v>
      </c>
      <c r="K81">
        <v>6.8</v>
      </c>
      <c r="L81">
        <v>6.4</v>
      </c>
      <c r="M81">
        <v>6.8</v>
      </c>
      <c r="N81">
        <v>7.2</v>
      </c>
      <c r="O81">
        <v>8.9</v>
      </c>
      <c r="P81">
        <v>9.1</v>
      </c>
      <c r="Q81">
        <v>8.3000000000000007</v>
      </c>
      <c r="R81" s="3">
        <f t="shared" si="11"/>
        <v>0.24643487858719648</v>
      </c>
      <c r="S81">
        <v>38.254860000000001</v>
      </c>
      <c r="T81">
        <v>-85.766403999999994</v>
      </c>
      <c r="U81">
        <f t="shared" ca="1" si="6"/>
        <v>1117332</v>
      </c>
      <c r="V81">
        <f t="shared" ca="1" si="7"/>
        <v>615</v>
      </c>
      <c r="W81" s="8">
        <f t="shared" ca="1" si="8"/>
        <v>1.72E-2</v>
      </c>
      <c r="X81">
        <f t="shared" ca="1" si="9"/>
        <v>7380</v>
      </c>
      <c r="Y81">
        <f t="shared" ca="1" si="10"/>
        <v>151.4</v>
      </c>
    </row>
    <row r="82" spans="1:25" x14ac:dyDescent="0.3">
      <c r="A82" t="s">
        <v>268</v>
      </c>
      <c r="B82" t="s">
        <v>267</v>
      </c>
      <c r="C82" t="s">
        <v>261</v>
      </c>
      <c r="D82">
        <v>18</v>
      </c>
      <c r="E82">
        <v>8.8000000000000007</v>
      </c>
      <c r="F82">
        <v>8.9</v>
      </c>
      <c r="G82">
        <v>9.4</v>
      </c>
      <c r="H82">
        <v>8.9</v>
      </c>
      <c r="I82">
        <v>7.4</v>
      </c>
      <c r="J82">
        <v>6.2</v>
      </c>
      <c r="K82">
        <v>5.7</v>
      </c>
      <c r="L82">
        <v>5.0999999999999996</v>
      </c>
      <c r="M82">
        <v>5.6</v>
      </c>
      <c r="N82">
        <v>6.5</v>
      </c>
      <c r="O82">
        <v>8.1999999999999993</v>
      </c>
      <c r="P82">
        <v>8.4</v>
      </c>
      <c r="Q82">
        <v>7.4</v>
      </c>
      <c r="R82" s="3">
        <f t="shared" si="11"/>
        <v>0.2197130242825607</v>
      </c>
      <c r="S82">
        <v>37.085709999999999</v>
      </c>
      <c r="T82">
        <v>-88.595833999999996</v>
      </c>
      <c r="U82">
        <f t="shared" ca="1" si="6"/>
        <v>897156</v>
      </c>
      <c r="V82">
        <f t="shared" ca="1" si="7"/>
        <v>710</v>
      </c>
      <c r="W82" s="8">
        <f t="shared" ca="1" si="8"/>
        <v>2.23E-2</v>
      </c>
      <c r="X82">
        <f t="shared" ca="1" si="9"/>
        <v>8520</v>
      </c>
      <c r="Y82">
        <f t="shared" ca="1" si="10"/>
        <v>105.3</v>
      </c>
    </row>
    <row r="83" spans="1:25" x14ac:dyDescent="0.3">
      <c r="A83" t="s">
        <v>110</v>
      </c>
      <c r="B83" t="s">
        <v>283</v>
      </c>
      <c r="C83" t="s">
        <v>263</v>
      </c>
      <c r="D83">
        <v>51</v>
      </c>
      <c r="E83">
        <v>8.6999999999999993</v>
      </c>
      <c r="F83">
        <v>9.1</v>
      </c>
      <c r="G83">
        <v>9.1</v>
      </c>
      <c r="H83">
        <v>8.6999999999999993</v>
      </c>
      <c r="I83">
        <v>7.6</v>
      </c>
      <c r="J83">
        <v>6.5</v>
      </c>
      <c r="K83">
        <v>5.9</v>
      </c>
      <c r="L83">
        <v>5.6</v>
      </c>
      <c r="M83">
        <v>6.4</v>
      </c>
      <c r="N83">
        <v>6.6</v>
      </c>
      <c r="O83">
        <v>7.4</v>
      </c>
      <c r="P83">
        <v>8.1</v>
      </c>
      <c r="Q83">
        <v>7.5</v>
      </c>
      <c r="R83" s="3">
        <f t="shared" si="11"/>
        <v>0.22268211920529801</v>
      </c>
      <c r="S83">
        <v>30.443359999999998</v>
      </c>
      <c r="T83">
        <v>-91.186983999999995</v>
      </c>
      <c r="U83">
        <f t="shared" ca="1" si="6"/>
        <v>1015488</v>
      </c>
      <c r="V83">
        <f t="shared" ca="1" si="7"/>
        <v>615</v>
      </c>
      <c r="W83" s="8">
        <f t="shared" ca="1" si="8"/>
        <v>1.61E-2</v>
      </c>
      <c r="X83">
        <f t="shared" ca="1" si="9"/>
        <v>7380</v>
      </c>
      <c r="Y83">
        <f t="shared" ca="1" si="10"/>
        <v>137.6</v>
      </c>
    </row>
    <row r="84" spans="1:25" x14ac:dyDescent="0.3">
      <c r="A84" t="s">
        <v>111</v>
      </c>
      <c r="B84" t="s">
        <v>283</v>
      </c>
      <c r="C84" t="s">
        <v>263</v>
      </c>
      <c r="D84">
        <v>41</v>
      </c>
      <c r="E84">
        <v>9.8000000000000007</v>
      </c>
      <c r="F84">
        <v>10</v>
      </c>
      <c r="G84">
        <v>10.199999999999999</v>
      </c>
      <c r="H84">
        <v>9.8000000000000007</v>
      </c>
      <c r="I84">
        <v>8.6</v>
      </c>
      <c r="J84">
        <v>7.5</v>
      </c>
      <c r="K84">
        <v>6.1</v>
      </c>
      <c r="L84">
        <v>6.1</v>
      </c>
      <c r="M84">
        <v>7.1</v>
      </c>
      <c r="N84">
        <v>7.8</v>
      </c>
      <c r="O84">
        <v>8.8000000000000007</v>
      </c>
      <c r="P84">
        <v>9.3000000000000007</v>
      </c>
      <c r="Q84">
        <v>8.4</v>
      </c>
      <c r="R84" s="3">
        <f t="shared" si="11"/>
        <v>0.24940397350993379</v>
      </c>
      <c r="S84">
        <v>30.224032999999999</v>
      </c>
      <c r="T84">
        <v>-93.220111000000003</v>
      </c>
      <c r="U84">
        <f t="shared" ca="1" si="6"/>
        <v>1062439.2</v>
      </c>
      <c r="V84">
        <f t="shared" ca="1" si="7"/>
        <v>606</v>
      </c>
      <c r="W84" s="8">
        <f t="shared" ca="1" si="8"/>
        <v>1.6299999999999999E-2</v>
      </c>
      <c r="X84">
        <f t="shared" ca="1" si="9"/>
        <v>7272</v>
      </c>
      <c r="Y84">
        <f t="shared" ca="1" si="10"/>
        <v>146.1</v>
      </c>
    </row>
    <row r="85" spans="1:25" x14ac:dyDescent="0.3">
      <c r="A85" t="s">
        <v>112</v>
      </c>
      <c r="B85" t="s">
        <v>283</v>
      </c>
      <c r="C85" t="s">
        <v>263</v>
      </c>
      <c r="D85">
        <v>54</v>
      </c>
      <c r="E85">
        <v>9.3000000000000007</v>
      </c>
      <c r="F85">
        <v>9.8000000000000007</v>
      </c>
      <c r="G85">
        <v>9.9</v>
      </c>
      <c r="H85">
        <v>9.4</v>
      </c>
      <c r="I85">
        <v>8.1</v>
      </c>
      <c r="J85">
        <v>6.8</v>
      </c>
      <c r="K85">
        <v>6.1</v>
      </c>
      <c r="L85">
        <v>5.9</v>
      </c>
      <c r="M85">
        <v>7.3</v>
      </c>
      <c r="N85">
        <v>7.6</v>
      </c>
      <c r="O85">
        <v>8.6999999999999993</v>
      </c>
      <c r="P85">
        <v>9</v>
      </c>
      <c r="Q85">
        <v>8.1999999999999993</v>
      </c>
      <c r="R85" s="3">
        <f t="shared" si="11"/>
        <v>0.24346578366445915</v>
      </c>
      <c r="S85">
        <v>29.953690000000002</v>
      </c>
      <c r="T85">
        <v>-90.077714</v>
      </c>
      <c r="U85">
        <f t="shared" ca="1" si="6"/>
        <v>894239.99999999988</v>
      </c>
      <c r="V85">
        <f t="shared" ca="1" si="7"/>
        <v>675</v>
      </c>
      <c r="W85" s="8">
        <f t="shared" ca="1" si="8"/>
        <v>1.34E-2</v>
      </c>
      <c r="X85">
        <f t="shared" ca="1" si="9"/>
        <v>8100</v>
      </c>
      <c r="Y85">
        <f t="shared" ca="1" si="10"/>
        <v>110.39999999999999</v>
      </c>
    </row>
    <row r="86" spans="1:25" x14ac:dyDescent="0.3">
      <c r="A86" t="s">
        <v>113</v>
      </c>
      <c r="B86" t="s">
        <v>283</v>
      </c>
      <c r="C86" t="s">
        <v>263</v>
      </c>
      <c r="D86">
        <v>50</v>
      </c>
      <c r="E86">
        <v>9.1999999999999993</v>
      </c>
      <c r="F86">
        <v>9.6</v>
      </c>
      <c r="G86">
        <v>10</v>
      </c>
      <c r="H86">
        <v>9.6</v>
      </c>
      <c r="I86">
        <v>8.3000000000000007</v>
      </c>
      <c r="J86">
        <v>7.6</v>
      </c>
      <c r="K86">
        <v>7.1</v>
      </c>
      <c r="L86">
        <v>6.6</v>
      </c>
      <c r="M86">
        <v>7.2</v>
      </c>
      <c r="N86">
        <v>7.4</v>
      </c>
      <c r="O86">
        <v>8.3000000000000007</v>
      </c>
      <c r="P86">
        <v>8.8000000000000007</v>
      </c>
      <c r="Q86">
        <v>8.3000000000000007</v>
      </c>
      <c r="R86" s="3">
        <f t="shared" si="11"/>
        <v>0.24643487858719648</v>
      </c>
      <c r="S86">
        <v>32.514614999999999</v>
      </c>
      <c r="T86">
        <v>-93.747274000000004</v>
      </c>
      <c r="U86">
        <f t="shared" ca="1" si="6"/>
        <v>726012.00000000012</v>
      </c>
      <c r="V86">
        <f t="shared" ca="1" si="7"/>
        <v>645</v>
      </c>
      <c r="W86" s="8">
        <f t="shared" ca="1" si="8"/>
        <v>1.09E-2</v>
      </c>
      <c r="X86">
        <f t="shared" ca="1" si="9"/>
        <v>7740</v>
      </c>
      <c r="Y86">
        <f t="shared" ca="1" si="10"/>
        <v>93.800000000000011</v>
      </c>
    </row>
    <row r="87" spans="1:25" x14ac:dyDescent="0.3">
      <c r="A87" t="s">
        <v>114</v>
      </c>
      <c r="B87" t="s">
        <v>284</v>
      </c>
      <c r="C87" t="s">
        <v>265</v>
      </c>
      <c r="D87">
        <v>22</v>
      </c>
      <c r="E87">
        <v>11.1</v>
      </c>
      <c r="F87">
        <v>10.8</v>
      </c>
      <c r="G87">
        <v>11.7</v>
      </c>
      <c r="H87">
        <v>10.9</v>
      </c>
      <c r="I87">
        <v>10.3</v>
      </c>
      <c r="J87">
        <v>9.3000000000000007</v>
      </c>
      <c r="K87">
        <v>8.6</v>
      </c>
      <c r="L87">
        <v>8.1</v>
      </c>
      <c r="M87">
        <v>9.1999999999999993</v>
      </c>
      <c r="N87">
        <v>10</v>
      </c>
      <c r="O87">
        <v>10</v>
      </c>
      <c r="P87">
        <v>10.4</v>
      </c>
      <c r="Q87">
        <v>10</v>
      </c>
      <c r="R87" s="3">
        <f t="shared" si="11"/>
        <v>0.2969094922737307</v>
      </c>
      <c r="S87">
        <v>46.859296999999998</v>
      </c>
      <c r="T87">
        <v>-68.011245000000002</v>
      </c>
      <c r="U87">
        <f t="shared" ca="1" si="6"/>
        <v>1013056.8</v>
      </c>
      <c r="V87">
        <f t="shared" ca="1" si="7"/>
        <v>658</v>
      </c>
      <c r="W87" s="8">
        <f t="shared" ca="1" si="8"/>
        <v>2.3300000000000001E-2</v>
      </c>
      <c r="X87">
        <f t="shared" ca="1" si="9"/>
        <v>7896</v>
      </c>
      <c r="Y87">
        <f t="shared" ca="1" si="10"/>
        <v>128.30000000000001</v>
      </c>
    </row>
    <row r="88" spans="1:25" x14ac:dyDescent="0.3">
      <c r="A88" t="s">
        <v>115</v>
      </c>
      <c r="B88" t="s">
        <v>284</v>
      </c>
      <c r="C88" t="s">
        <v>265</v>
      </c>
      <c r="D88">
        <v>62</v>
      </c>
      <c r="E88">
        <v>9</v>
      </c>
      <c r="F88">
        <v>9.4</v>
      </c>
      <c r="G88">
        <v>10</v>
      </c>
      <c r="H88">
        <v>9.9</v>
      </c>
      <c r="I88">
        <v>9.1</v>
      </c>
      <c r="J88">
        <v>8.1999999999999993</v>
      </c>
      <c r="K88">
        <v>7.6</v>
      </c>
      <c r="L88">
        <v>7.5</v>
      </c>
      <c r="M88">
        <v>7.8</v>
      </c>
      <c r="N88">
        <v>8.4</v>
      </c>
      <c r="O88">
        <v>8.8000000000000007</v>
      </c>
      <c r="P88">
        <v>9</v>
      </c>
      <c r="Q88">
        <v>8.6999999999999993</v>
      </c>
      <c r="R88" s="3">
        <f t="shared" si="11"/>
        <v>0.25831125827814566</v>
      </c>
      <c r="S88">
        <v>43.659145000000002</v>
      </c>
      <c r="T88">
        <v>-70.256653999999997</v>
      </c>
      <c r="U88">
        <f t="shared" ca="1" si="6"/>
        <v>723582</v>
      </c>
      <c r="V88">
        <f t="shared" ca="1" si="7"/>
        <v>659</v>
      </c>
      <c r="W88" s="8">
        <f t="shared" ca="1" si="8"/>
        <v>1.3100000000000001E-2</v>
      </c>
      <c r="X88">
        <f t="shared" ca="1" si="9"/>
        <v>7908</v>
      </c>
      <c r="Y88">
        <f t="shared" ca="1" si="10"/>
        <v>91.5</v>
      </c>
    </row>
    <row r="89" spans="1:25" x14ac:dyDescent="0.3">
      <c r="A89" t="s">
        <v>116</v>
      </c>
      <c r="B89" t="s">
        <v>285</v>
      </c>
      <c r="C89" t="s">
        <v>270</v>
      </c>
      <c r="D89">
        <v>52</v>
      </c>
      <c r="E89">
        <v>9.4</v>
      </c>
      <c r="F89">
        <v>9.9</v>
      </c>
      <c r="G89">
        <v>10.7</v>
      </c>
      <c r="H89">
        <v>10.199999999999999</v>
      </c>
      <c r="I89">
        <v>8.9</v>
      </c>
      <c r="J89">
        <v>8.1999999999999993</v>
      </c>
      <c r="K89">
        <v>7.6</v>
      </c>
      <c r="L89">
        <v>7.5</v>
      </c>
      <c r="M89">
        <v>7.7</v>
      </c>
      <c r="N89">
        <v>8.1</v>
      </c>
      <c r="O89">
        <v>8.8000000000000007</v>
      </c>
      <c r="P89">
        <v>8.9</v>
      </c>
      <c r="Q89">
        <v>8.8000000000000007</v>
      </c>
      <c r="R89" s="3">
        <f t="shared" si="11"/>
        <v>0.26128035320088305</v>
      </c>
      <c r="S89">
        <v>39.290554999999998</v>
      </c>
      <c r="T89">
        <v>-76.609604000000004</v>
      </c>
      <c r="U89">
        <f t="shared" ca="1" si="6"/>
        <v>779708.4</v>
      </c>
      <c r="V89">
        <f t="shared" ca="1" si="7"/>
        <v>629</v>
      </c>
      <c r="W89" s="8">
        <f t="shared" ca="1" si="8"/>
        <v>6.1000000000000004E-3</v>
      </c>
      <c r="X89">
        <f t="shared" ca="1" si="9"/>
        <v>7548</v>
      </c>
      <c r="Y89">
        <f t="shared" ca="1" si="10"/>
        <v>103.3</v>
      </c>
    </row>
    <row r="90" spans="1:25" x14ac:dyDescent="0.3">
      <c r="A90" t="s">
        <v>117</v>
      </c>
      <c r="B90" t="s">
        <v>286</v>
      </c>
      <c r="C90" t="s">
        <v>265</v>
      </c>
      <c r="D90">
        <v>61</v>
      </c>
      <c r="E90">
        <v>17.2</v>
      </c>
      <c r="F90">
        <v>17.2</v>
      </c>
      <c r="G90">
        <v>17.2</v>
      </c>
      <c r="H90">
        <v>16.399999999999999</v>
      </c>
      <c r="I90">
        <v>14.6</v>
      </c>
      <c r="J90">
        <v>13.8</v>
      </c>
      <c r="K90">
        <v>12.9</v>
      </c>
      <c r="L90">
        <v>12.6</v>
      </c>
      <c r="M90">
        <v>13.5</v>
      </c>
      <c r="N90">
        <v>15.2</v>
      </c>
      <c r="O90">
        <v>16.2</v>
      </c>
      <c r="P90">
        <v>16.7</v>
      </c>
      <c r="Q90">
        <v>15.3</v>
      </c>
      <c r="R90" s="3">
        <f t="shared" si="11"/>
        <v>0.45427152317880798</v>
      </c>
      <c r="S90">
        <v>44.413521000000003</v>
      </c>
      <c r="T90">
        <v>-68.587463</v>
      </c>
      <c r="U90">
        <f t="shared" ca="1" si="6"/>
        <v>648144</v>
      </c>
      <c r="V90">
        <f t="shared" ca="1" si="7"/>
        <v>643</v>
      </c>
      <c r="W90" s="8">
        <f t="shared" ca="1" si="8"/>
        <v>1.2E-2</v>
      </c>
      <c r="X90">
        <f t="shared" ca="1" si="9"/>
        <v>7716</v>
      </c>
      <c r="Y90">
        <f t="shared" ca="1" si="10"/>
        <v>84</v>
      </c>
    </row>
    <row r="91" spans="1:25" x14ac:dyDescent="0.3">
      <c r="A91" t="s">
        <v>118</v>
      </c>
      <c r="B91" t="s">
        <v>286</v>
      </c>
      <c r="C91" t="s">
        <v>265</v>
      </c>
      <c r="D91">
        <v>45</v>
      </c>
      <c r="E91">
        <v>13.7</v>
      </c>
      <c r="F91">
        <v>13.7</v>
      </c>
      <c r="G91">
        <v>13.6</v>
      </c>
      <c r="H91">
        <v>13.1</v>
      </c>
      <c r="I91">
        <v>12</v>
      </c>
      <c r="J91">
        <v>11.4</v>
      </c>
      <c r="K91">
        <v>11</v>
      </c>
      <c r="L91">
        <v>10.8</v>
      </c>
      <c r="M91">
        <v>11.3</v>
      </c>
      <c r="N91">
        <v>11.9</v>
      </c>
      <c r="O91">
        <v>12.7</v>
      </c>
      <c r="P91">
        <v>13.4</v>
      </c>
      <c r="Q91">
        <v>12.4</v>
      </c>
      <c r="R91" s="3">
        <f t="shared" si="11"/>
        <v>0.36816777041942605</v>
      </c>
      <c r="S91">
        <v>42.358635</v>
      </c>
      <c r="T91">
        <v>-71.056698999999995</v>
      </c>
      <c r="U91">
        <f t="shared" ca="1" si="6"/>
        <v>1129516.8</v>
      </c>
      <c r="V91">
        <f t="shared" ca="1" si="7"/>
        <v>712</v>
      </c>
      <c r="W91" s="8">
        <f t="shared" ca="1" si="8"/>
        <v>2.07E-2</v>
      </c>
      <c r="X91">
        <f t="shared" ca="1" si="9"/>
        <v>8544</v>
      </c>
      <c r="Y91">
        <f t="shared" ca="1" si="10"/>
        <v>132.20000000000002</v>
      </c>
    </row>
    <row r="92" spans="1:25" x14ac:dyDescent="0.3">
      <c r="A92" t="s">
        <v>119</v>
      </c>
      <c r="B92" t="s">
        <v>286</v>
      </c>
      <c r="C92" t="s">
        <v>265</v>
      </c>
      <c r="D92">
        <v>36</v>
      </c>
      <c r="E92">
        <v>11.7</v>
      </c>
      <c r="F92">
        <v>11.6</v>
      </c>
      <c r="G92">
        <v>11.5</v>
      </c>
      <c r="H92">
        <v>11</v>
      </c>
      <c r="I92">
        <v>10</v>
      </c>
      <c r="J92">
        <v>8.9</v>
      </c>
      <c r="K92">
        <v>8.4</v>
      </c>
      <c r="L92">
        <v>8.3000000000000007</v>
      </c>
      <c r="M92">
        <v>8.6</v>
      </c>
      <c r="N92">
        <v>9.4</v>
      </c>
      <c r="O92">
        <v>10.4</v>
      </c>
      <c r="P92">
        <v>10.9</v>
      </c>
      <c r="Q92">
        <v>10.1</v>
      </c>
      <c r="R92" s="3">
        <f t="shared" si="11"/>
        <v>0.29987858719646798</v>
      </c>
      <c r="S92">
        <v>42.262990000000002</v>
      </c>
      <c r="T92">
        <v>-71.802353999999994</v>
      </c>
      <c r="U92">
        <f t="shared" ca="1" si="6"/>
        <v>718434</v>
      </c>
      <c r="V92">
        <f t="shared" ca="1" si="7"/>
        <v>717</v>
      </c>
      <c r="W92" s="8">
        <f t="shared" ca="1" si="8"/>
        <v>1.9400000000000001E-2</v>
      </c>
      <c r="X92">
        <f t="shared" ca="1" si="9"/>
        <v>8604</v>
      </c>
      <c r="Y92">
        <f t="shared" ca="1" si="10"/>
        <v>83.5</v>
      </c>
    </row>
    <row r="93" spans="1:25" x14ac:dyDescent="0.3">
      <c r="A93" t="s">
        <v>120</v>
      </c>
      <c r="B93" t="s">
        <v>271</v>
      </c>
      <c r="C93" t="s">
        <v>266</v>
      </c>
      <c r="D93">
        <v>42</v>
      </c>
      <c r="E93">
        <v>8.8000000000000007</v>
      </c>
      <c r="F93">
        <v>8.4</v>
      </c>
      <c r="G93">
        <v>8.9</v>
      </c>
      <c r="H93">
        <v>9.1999999999999993</v>
      </c>
      <c r="I93">
        <v>8.3000000000000007</v>
      </c>
      <c r="J93">
        <v>7.5</v>
      </c>
      <c r="K93">
        <v>7</v>
      </c>
      <c r="L93">
        <v>6.7</v>
      </c>
      <c r="M93">
        <v>7.1</v>
      </c>
      <c r="N93">
        <v>7.8</v>
      </c>
      <c r="O93">
        <v>8.5</v>
      </c>
      <c r="P93">
        <v>8.4</v>
      </c>
      <c r="Q93">
        <v>8.1</v>
      </c>
      <c r="R93" s="3">
        <f t="shared" si="11"/>
        <v>0.24049668874172184</v>
      </c>
      <c r="S93">
        <v>45.061565000000002</v>
      </c>
      <c r="T93">
        <v>-83.445154000000002</v>
      </c>
      <c r="U93">
        <f t="shared" ca="1" si="6"/>
        <v>776892</v>
      </c>
      <c r="V93">
        <f t="shared" ca="1" si="7"/>
        <v>641</v>
      </c>
      <c r="W93" s="8">
        <f t="shared" ca="1" si="8"/>
        <v>6.4999999999999997E-3</v>
      </c>
      <c r="X93">
        <f t="shared" ca="1" si="9"/>
        <v>7692</v>
      </c>
      <c r="Y93">
        <f t="shared" ca="1" si="10"/>
        <v>101</v>
      </c>
    </row>
    <row r="94" spans="1:25" x14ac:dyDescent="0.3">
      <c r="A94" t="s">
        <v>121</v>
      </c>
      <c r="B94" t="s">
        <v>271</v>
      </c>
      <c r="C94" t="s">
        <v>266</v>
      </c>
      <c r="D94">
        <v>44</v>
      </c>
      <c r="E94">
        <v>11.9</v>
      </c>
      <c r="F94">
        <v>11.4</v>
      </c>
      <c r="G94">
        <v>11.7</v>
      </c>
      <c r="H94">
        <v>11.3</v>
      </c>
      <c r="I94">
        <v>10.1</v>
      </c>
      <c r="J94">
        <v>9.1999999999999993</v>
      </c>
      <c r="K94">
        <v>8.5</v>
      </c>
      <c r="L94">
        <v>8.1</v>
      </c>
      <c r="M94">
        <v>8.6999999999999993</v>
      </c>
      <c r="N94">
        <v>9.6999999999999993</v>
      </c>
      <c r="O94">
        <v>11.2</v>
      </c>
      <c r="P94">
        <v>11.3</v>
      </c>
      <c r="Q94">
        <v>10.3</v>
      </c>
      <c r="R94" s="3">
        <f t="shared" si="11"/>
        <v>0.3058167770419426</v>
      </c>
      <c r="S94">
        <v>42.331685</v>
      </c>
      <c r="T94">
        <v>-83.047923999999995</v>
      </c>
      <c r="U94">
        <f t="shared" ca="1" si="6"/>
        <v>1239373.2</v>
      </c>
      <c r="V94">
        <f t="shared" ca="1" si="7"/>
        <v>689</v>
      </c>
      <c r="W94" s="8">
        <f t="shared" ca="1" si="8"/>
        <v>1.0699999999999999E-2</v>
      </c>
      <c r="X94">
        <f t="shared" ca="1" si="9"/>
        <v>8268</v>
      </c>
      <c r="Y94">
        <f t="shared" ca="1" si="10"/>
        <v>149.9</v>
      </c>
    </row>
    <row r="95" spans="1:25" x14ac:dyDescent="0.3">
      <c r="A95" t="s">
        <v>122</v>
      </c>
      <c r="B95" t="s">
        <v>271</v>
      </c>
      <c r="C95" t="s">
        <v>266</v>
      </c>
      <c r="D95">
        <v>61</v>
      </c>
      <c r="E95">
        <v>11.8</v>
      </c>
      <c r="F95">
        <v>11.2</v>
      </c>
      <c r="G95">
        <v>11.8</v>
      </c>
      <c r="H95">
        <v>11.5</v>
      </c>
      <c r="I95">
        <v>10.1</v>
      </c>
      <c r="J95">
        <v>9</v>
      </c>
      <c r="K95">
        <v>8.1</v>
      </c>
      <c r="L95">
        <v>7.8</v>
      </c>
      <c r="M95">
        <v>8.8000000000000007</v>
      </c>
      <c r="N95">
        <v>9.8000000000000007</v>
      </c>
      <c r="O95">
        <v>11.2</v>
      </c>
      <c r="P95">
        <v>11.3</v>
      </c>
      <c r="Q95">
        <v>10.199999999999999</v>
      </c>
      <c r="R95" s="3">
        <f t="shared" si="11"/>
        <v>0.30284768211920526</v>
      </c>
      <c r="S95">
        <v>43.010750000000002</v>
      </c>
      <c r="T95">
        <v>-83.686029000000005</v>
      </c>
      <c r="U95">
        <f t="shared" ca="1" si="6"/>
        <v>1246968</v>
      </c>
      <c r="V95">
        <f t="shared" ca="1" si="7"/>
        <v>690</v>
      </c>
      <c r="W95" s="8">
        <f t="shared" ca="1" si="8"/>
        <v>2.0199999999999999E-2</v>
      </c>
      <c r="X95">
        <f t="shared" ca="1" si="9"/>
        <v>8280</v>
      </c>
      <c r="Y95">
        <f t="shared" ca="1" si="10"/>
        <v>150.6</v>
      </c>
    </row>
    <row r="96" spans="1:25" x14ac:dyDescent="0.3">
      <c r="A96" t="s">
        <v>123</v>
      </c>
      <c r="B96" t="s">
        <v>271</v>
      </c>
      <c r="C96" t="s">
        <v>266</v>
      </c>
      <c r="D96">
        <v>39</v>
      </c>
      <c r="E96">
        <v>11.4</v>
      </c>
      <c r="F96">
        <v>10.6</v>
      </c>
      <c r="G96">
        <v>11.1</v>
      </c>
      <c r="H96">
        <v>11</v>
      </c>
      <c r="I96">
        <v>9.6999999999999993</v>
      </c>
      <c r="J96">
        <v>8.9</v>
      </c>
      <c r="K96">
        <v>8.3000000000000007</v>
      </c>
      <c r="L96">
        <v>7.9</v>
      </c>
      <c r="M96">
        <v>8.3000000000000007</v>
      </c>
      <c r="N96">
        <v>9.4</v>
      </c>
      <c r="O96">
        <v>10.5</v>
      </c>
      <c r="P96">
        <v>10.7</v>
      </c>
      <c r="Q96">
        <v>9.8000000000000007</v>
      </c>
      <c r="R96" s="3">
        <f t="shared" si="11"/>
        <v>0.29097130242825614</v>
      </c>
      <c r="S96">
        <v>42.966410000000003</v>
      </c>
      <c r="T96">
        <v>-85.671178999999995</v>
      </c>
      <c r="U96">
        <f t="shared" ca="1" si="6"/>
        <v>750252</v>
      </c>
      <c r="V96">
        <f t="shared" ca="1" si="7"/>
        <v>607</v>
      </c>
      <c r="W96" s="8">
        <f t="shared" ca="1" si="8"/>
        <v>1.9699999999999999E-2</v>
      </c>
      <c r="X96">
        <f t="shared" ca="1" si="9"/>
        <v>7284</v>
      </c>
      <c r="Y96">
        <f t="shared" ca="1" si="10"/>
        <v>103</v>
      </c>
    </row>
    <row r="97" spans="1:25" x14ac:dyDescent="0.3">
      <c r="A97" t="s">
        <v>124</v>
      </c>
      <c r="B97" t="s">
        <v>271</v>
      </c>
      <c r="C97" t="s">
        <v>266</v>
      </c>
      <c r="D97">
        <v>21</v>
      </c>
      <c r="E97">
        <v>9.6999999999999993</v>
      </c>
      <c r="F97">
        <v>9.1</v>
      </c>
      <c r="G97">
        <v>9.1</v>
      </c>
      <c r="H97">
        <v>9.5</v>
      </c>
      <c r="I97">
        <v>8.8000000000000007</v>
      </c>
      <c r="J97">
        <v>7.8</v>
      </c>
      <c r="K97">
        <v>7.5</v>
      </c>
      <c r="L97">
        <v>7</v>
      </c>
      <c r="M97">
        <v>7.8</v>
      </c>
      <c r="N97">
        <v>8.8000000000000007</v>
      </c>
      <c r="O97">
        <v>9.6</v>
      </c>
      <c r="P97">
        <v>9.3000000000000007</v>
      </c>
      <c r="Q97">
        <v>8.6999999999999993</v>
      </c>
      <c r="R97" s="3">
        <f t="shared" si="11"/>
        <v>0.25831125827814566</v>
      </c>
      <c r="S97">
        <v>44.308970000000002</v>
      </c>
      <c r="T97">
        <v>-84.759148999999994</v>
      </c>
      <c r="U97">
        <f t="shared" ca="1" si="6"/>
        <v>825348</v>
      </c>
      <c r="V97">
        <f t="shared" ca="1" si="7"/>
        <v>631</v>
      </c>
      <c r="W97" s="8">
        <f t="shared" ca="1" si="8"/>
        <v>2.4799999999999999E-2</v>
      </c>
      <c r="X97">
        <f t="shared" ca="1" si="9"/>
        <v>7572</v>
      </c>
      <c r="Y97">
        <f t="shared" ca="1" si="10"/>
        <v>109</v>
      </c>
    </row>
    <row r="98" spans="1:25" x14ac:dyDescent="0.3">
      <c r="A98" t="s">
        <v>125</v>
      </c>
      <c r="B98" t="s">
        <v>271</v>
      </c>
      <c r="C98" t="s">
        <v>266</v>
      </c>
      <c r="D98">
        <v>43</v>
      </c>
      <c r="E98">
        <v>11.7</v>
      </c>
      <c r="F98">
        <v>10.9</v>
      </c>
      <c r="G98">
        <v>11.2</v>
      </c>
      <c r="H98">
        <v>11.1</v>
      </c>
      <c r="I98">
        <v>9.9</v>
      </c>
      <c r="J98">
        <v>8.8000000000000007</v>
      </c>
      <c r="K98">
        <v>8</v>
      </c>
      <c r="L98">
        <v>7.5</v>
      </c>
      <c r="M98">
        <v>8.1999999999999993</v>
      </c>
      <c r="N98">
        <v>9.4</v>
      </c>
      <c r="O98">
        <v>10.7</v>
      </c>
      <c r="P98">
        <v>11</v>
      </c>
      <c r="Q98">
        <v>9.9</v>
      </c>
      <c r="R98" s="3">
        <f t="shared" si="11"/>
        <v>0.29394039735099342</v>
      </c>
      <c r="S98">
        <v>42.731940000000002</v>
      </c>
      <c r="T98">
        <v>-84.552249000000003</v>
      </c>
      <c r="U98">
        <f t="shared" ca="1" si="6"/>
        <v>910260</v>
      </c>
      <c r="V98">
        <f t="shared" ca="1" si="7"/>
        <v>650</v>
      </c>
      <c r="W98" s="8">
        <f t="shared" ca="1" si="8"/>
        <v>1.0500000000000001E-2</v>
      </c>
      <c r="X98">
        <f t="shared" ca="1" si="9"/>
        <v>7800</v>
      </c>
      <c r="Y98">
        <f t="shared" ca="1" si="10"/>
        <v>116.7</v>
      </c>
    </row>
    <row r="99" spans="1:25" x14ac:dyDescent="0.3">
      <c r="A99" t="s">
        <v>126</v>
      </c>
      <c r="B99" t="s">
        <v>271</v>
      </c>
      <c r="C99" t="s">
        <v>266</v>
      </c>
      <c r="D99">
        <v>41</v>
      </c>
      <c r="E99">
        <v>12.2</v>
      </c>
      <c r="F99">
        <v>11.6</v>
      </c>
      <c r="G99">
        <v>11.6</v>
      </c>
      <c r="H99">
        <v>11.5</v>
      </c>
      <c r="I99">
        <v>9.9</v>
      </c>
      <c r="J99">
        <v>9.3000000000000007</v>
      </c>
      <c r="K99">
        <v>8.8000000000000007</v>
      </c>
      <c r="L99">
        <v>8.6</v>
      </c>
      <c r="M99">
        <v>9.3000000000000007</v>
      </c>
      <c r="N99">
        <v>10.7</v>
      </c>
      <c r="O99">
        <v>11.9</v>
      </c>
      <c r="P99">
        <v>11.7</v>
      </c>
      <c r="Q99">
        <v>10.6</v>
      </c>
      <c r="R99" s="3">
        <f t="shared" si="11"/>
        <v>0.3147240618101545</v>
      </c>
      <c r="S99">
        <v>43.23424</v>
      </c>
      <c r="T99">
        <v>-86.245929000000004</v>
      </c>
      <c r="U99">
        <f t="shared" ca="1" si="6"/>
        <v>619554</v>
      </c>
      <c r="V99">
        <f t="shared" ca="1" si="7"/>
        <v>611</v>
      </c>
      <c r="W99" s="8">
        <f t="shared" ca="1" si="8"/>
        <v>2.46E-2</v>
      </c>
      <c r="X99">
        <f t="shared" ca="1" si="9"/>
        <v>7332</v>
      </c>
      <c r="Y99">
        <f t="shared" ca="1" si="10"/>
        <v>84.5</v>
      </c>
    </row>
    <row r="100" spans="1:25" x14ac:dyDescent="0.3">
      <c r="A100" t="s">
        <v>127</v>
      </c>
      <c r="B100" t="s">
        <v>271</v>
      </c>
      <c r="C100" t="s">
        <v>266</v>
      </c>
      <c r="D100">
        <v>61</v>
      </c>
      <c r="E100">
        <v>9.6</v>
      </c>
      <c r="F100">
        <v>9.3000000000000007</v>
      </c>
      <c r="G100">
        <v>10</v>
      </c>
      <c r="H100">
        <v>10.3</v>
      </c>
      <c r="I100">
        <v>9.6999999999999993</v>
      </c>
      <c r="J100">
        <v>8.5</v>
      </c>
      <c r="K100">
        <v>7.8</v>
      </c>
      <c r="L100">
        <v>7.7</v>
      </c>
      <c r="M100">
        <v>8.6</v>
      </c>
      <c r="N100">
        <v>9.1999999999999993</v>
      </c>
      <c r="O100">
        <v>9.6999999999999993</v>
      </c>
      <c r="P100">
        <v>9.6</v>
      </c>
      <c r="Q100">
        <v>9.1999999999999993</v>
      </c>
      <c r="R100" s="3">
        <f t="shared" si="11"/>
        <v>0.27315673289183223</v>
      </c>
      <c r="S100">
        <v>46.492310000000003</v>
      </c>
      <c r="T100">
        <v>-84.351719000000003</v>
      </c>
      <c r="U100">
        <f t="shared" ca="1" si="6"/>
        <v>887592</v>
      </c>
      <c r="V100">
        <f t="shared" ca="1" si="7"/>
        <v>620</v>
      </c>
      <c r="W100" s="8">
        <f t="shared" ca="1" si="8"/>
        <v>2.1399999999999999E-2</v>
      </c>
      <c r="X100">
        <f t="shared" ca="1" si="9"/>
        <v>7440</v>
      </c>
      <c r="Y100">
        <f t="shared" ca="1" si="10"/>
        <v>119.3</v>
      </c>
    </row>
    <row r="101" spans="1:25" x14ac:dyDescent="0.3">
      <c r="A101" t="s">
        <v>128</v>
      </c>
      <c r="B101" t="s">
        <v>287</v>
      </c>
      <c r="C101" t="s">
        <v>269</v>
      </c>
      <c r="D101">
        <v>53</v>
      </c>
      <c r="E101">
        <v>11.6</v>
      </c>
      <c r="F101">
        <v>11.3</v>
      </c>
      <c r="G101">
        <v>11.8</v>
      </c>
      <c r="H101">
        <v>12.3</v>
      </c>
      <c r="I101">
        <v>11.6</v>
      </c>
      <c r="J101">
        <v>10.4</v>
      </c>
      <c r="K101">
        <v>9.4</v>
      </c>
      <c r="L101">
        <v>9.4</v>
      </c>
      <c r="M101">
        <v>10.3</v>
      </c>
      <c r="N101">
        <v>11.2</v>
      </c>
      <c r="O101">
        <v>11.6</v>
      </c>
      <c r="P101">
        <v>11.2</v>
      </c>
      <c r="Q101">
        <v>11</v>
      </c>
      <c r="R101" s="3">
        <f t="shared" si="11"/>
        <v>0.32660044150110373</v>
      </c>
      <c r="S101">
        <v>46.787965</v>
      </c>
      <c r="T101">
        <v>-92.099849000000006</v>
      </c>
      <c r="U101">
        <f t="shared" ca="1" si="6"/>
        <v>1035168</v>
      </c>
      <c r="V101">
        <f t="shared" ca="1" si="7"/>
        <v>656</v>
      </c>
      <c r="W101" s="8">
        <f t="shared" ca="1" si="8"/>
        <v>1.8499999999999999E-2</v>
      </c>
      <c r="X101">
        <f t="shared" ca="1" si="9"/>
        <v>7872</v>
      </c>
      <c r="Y101">
        <f t="shared" ca="1" si="10"/>
        <v>131.5</v>
      </c>
    </row>
    <row r="102" spans="1:25" x14ac:dyDescent="0.3">
      <c r="A102" t="s">
        <v>129</v>
      </c>
      <c r="B102" t="s">
        <v>287</v>
      </c>
      <c r="C102" t="s">
        <v>269</v>
      </c>
      <c r="D102">
        <v>50</v>
      </c>
      <c r="E102">
        <v>8.9</v>
      </c>
      <c r="F102">
        <v>8.8000000000000007</v>
      </c>
      <c r="G102">
        <v>9.4</v>
      </c>
      <c r="H102">
        <v>9.9</v>
      </c>
      <c r="I102">
        <v>9.4</v>
      </c>
      <c r="J102">
        <v>8.5</v>
      </c>
      <c r="K102">
        <v>7.7</v>
      </c>
      <c r="L102">
        <v>7.5</v>
      </c>
      <c r="M102">
        <v>8.5</v>
      </c>
      <c r="N102">
        <v>9.3000000000000007</v>
      </c>
      <c r="O102">
        <v>9.4</v>
      </c>
      <c r="P102">
        <v>8.8000000000000007</v>
      </c>
      <c r="Q102">
        <v>8.8000000000000007</v>
      </c>
      <c r="R102" s="3">
        <f t="shared" si="11"/>
        <v>0.26128035320088305</v>
      </c>
      <c r="S102">
        <v>48.602604999999997</v>
      </c>
      <c r="T102">
        <v>-93.403654000000003</v>
      </c>
      <c r="U102">
        <f t="shared" ca="1" si="6"/>
        <v>772005.6</v>
      </c>
      <c r="V102">
        <f t="shared" ca="1" si="7"/>
        <v>618</v>
      </c>
      <c r="W102" s="8">
        <f t="shared" ca="1" si="8"/>
        <v>1.47E-2</v>
      </c>
      <c r="X102">
        <f t="shared" ca="1" si="9"/>
        <v>7416</v>
      </c>
      <c r="Y102">
        <f t="shared" ca="1" si="10"/>
        <v>104.1</v>
      </c>
    </row>
    <row r="103" spans="1:25" x14ac:dyDescent="0.3">
      <c r="A103" t="s">
        <v>130</v>
      </c>
      <c r="B103" t="s">
        <v>287</v>
      </c>
      <c r="C103" t="s">
        <v>269</v>
      </c>
      <c r="D103">
        <v>64</v>
      </c>
      <c r="E103">
        <v>10.5</v>
      </c>
      <c r="F103">
        <v>10.4</v>
      </c>
      <c r="G103">
        <v>11.3</v>
      </c>
      <c r="H103">
        <v>12.2</v>
      </c>
      <c r="I103">
        <v>11.1</v>
      </c>
      <c r="J103">
        <v>10.4</v>
      </c>
      <c r="K103">
        <v>9.4</v>
      </c>
      <c r="L103">
        <v>9.1999999999999993</v>
      </c>
      <c r="M103">
        <v>10</v>
      </c>
      <c r="N103">
        <v>10.6</v>
      </c>
      <c r="O103">
        <v>11</v>
      </c>
      <c r="P103">
        <v>10.4</v>
      </c>
      <c r="Q103">
        <v>10.5</v>
      </c>
      <c r="R103" s="3">
        <f t="shared" si="11"/>
        <v>0.31175496688741722</v>
      </c>
      <c r="S103">
        <v>44.943829000000001</v>
      </c>
      <c r="T103">
        <v>-93.093326000000005</v>
      </c>
      <c r="U103">
        <f t="shared" ca="1" si="6"/>
        <v>1283671.2</v>
      </c>
      <c r="V103">
        <f t="shared" ca="1" si="7"/>
        <v>701</v>
      </c>
      <c r="W103" s="8">
        <f t="shared" ca="1" si="8"/>
        <v>1.6799999999999999E-2</v>
      </c>
      <c r="X103">
        <f t="shared" ca="1" si="9"/>
        <v>8412</v>
      </c>
      <c r="Y103">
        <f t="shared" ca="1" si="10"/>
        <v>152.6</v>
      </c>
    </row>
    <row r="104" spans="1:25" x14ac:dyDescent="0.3">
      <c r="A104" t="s">
        <v>131</v>
      </c>
      <c r="B104" t="s">
        <v>287</v>
      </c>
      <c r="C104" t="s">
        <v>269</v>
      </c>
      <c r="D104">
        <v>42</v>
      </c>
      <c r="E104">
        <v>14.2</v>
      </c>
      <c r="F104">
        <v>13.7</v>
      </c>
      <c r="G104">
        <v>14.1</v>
      </c>
      <c r="H104">
        <v>14.3</v>
      </c>
      <c r="I104">
        <v>13.2</v>
      </c>
      <c r="J104">
        <v>12.1</v>
      </c>
      <c r="K104">
        <v>10.8</v>
      </c>
      <c r="L104">
        <v>10.4</v>
      </c>
      <c r="M104">
        <v>11.5</v>
      </c>
      <c r="N104">
        <v>12.7</v>
      </c>
      <c r="O104">
        <v>13.6</v>
      </c>
      <c r="P104">
        <v>13.7</v>
      </c>
      <c r="Q104">
        <v>12.9</v>
      </c>
      <c r="R104" s="3">
        <f t="shared" si="11"/>
        <v>0.38301324503311263</v>
      </c>
      <c r="S104">
        <v>44.01925</v>
      </c>
      <c r="T104">
        <v>-92.459778999999997</v>
      </c>
      <c r="U104">
        <f t="shared" ca="1" si="6"/>
        <v>916790.39999999991</v>
      </c>
      <c r="V104">
        <f t="shared" ca="1" si="7"/>
        <v>648</v>
      </c>
      <c r="W104" s="8">
        <f t="shared" ca="1" si="8"/>
        <v>1.43E-2</v>
      </c>
      <c r="X104">
        <f t="shared" ca="1" si="9"/>
        <v>7776</v>
      </c>
      <c r="Y104">
        <f t="shared" ca="1" si="10"/>
        <v>117.89999999999999</v>
      </c>
    </row>
    <row r="105" spans="1:25" x14ac:dyDescent="0.3">
      <c r="A105" t="s">
        <v>132</v>
      </c>
      <c r="B105" t="s">
        <v>287</v>
      </c>
      <c r="C105" t="s">
        <v>269</v>
      </c>
      <c r="D105">
        <v>16</v>
      </c>
      <c r="E105">
        <v>8.4</v>
      </c>
      <c r="F105">
        <v>8.4</v>
      </c>
      <c r="G105">
        <v>9</v>
      </c>
      <c r="H105">
        <v>9.8000000000000007</v>
      </c>
      <c r="I105">
        <v>9.1999999999999993</v>
      </c>
      <c r="J105">
        <v>8.3000000000000007</v>
      </c>
      <c r="K105">
        <v>7.1</v>
      </c>
      <c r="L105">
        <v>6.5</v>
      </c>
      <c r="M105">
        <v>7.2</v>
      </c>
      <c r="N105">
        <v>8.4</v>
      </c>
      <c r="O105">
        <v>8.6</v>
      </c>
      <c r="P105">
        <v>8.1999999999999993</v>
      </c>
      <c r="Q105">
        <v>8.3000000000000007</v>
      </c>
      <c r="R105" s="3">
        <f t="shared" si="11"/>
        <v>0.24643487858719648</v>
      </c>
      <c r="S105">
        <v>45.565863999999998</v>
      </c>
      <c r="T105">
        <v>-94.197519</v>
      </c>
      <c r="U105">
        <f t="shared" ca="1" si="6"/>
        <v>917347.2</v>
      </c>
      <c r="V105">
        <f t="shared" ca="1" si="7"/>
        <v>616</v>
      </c>
      <c r="W105" s="8">
        <f t="shared" ca="1" si="8"/>
        <v>2.3900000000000001E-2</v>
      </c>
      <c r="X105">
        <f t="shared" ca="1" si="9"/>
        <v>7392</v>
      </c>
      <c r="Y105">
        <f t="shared" ca="1" si="10"/>
        <v>124.1</v>
      </c>
    </row>
    <row r="106" spans="1:25" x14ac:dyDescent="0.3">
      <c r="A106" t="s">
        <v>107</v>
      </c>
      <c r="B106" t="s">
        <v>288</v>
      </c>
      <c r="C106" t="s">
        <v>261</v>
      </c>
      <c r="D106">
        <v>39</v>
      </c>
      <c r="E106">
        <v>8.1999999999999993</v>
      </c>
      <c r="F106">
        <v>8.4</v>
      </c>
      <c r="G106">
        <v>8.6999999999999993</v>
      </c>
      <c r="H106">
        <v>8</v>
      </c>
      <c r="I106">
        <v>6.8</v>
      </c>
      <c r="J106">
        <v>6.1</v>
      </c>
      <c r="K106">
        <v>5.2</v>
      </c>
      <c r="L106">
        <v>5.3</v>
      </c>
      <c r="M106">
        <v>6.1</v>
      </c>
      <c r="N106">
        <v>6.2</v>
      </c>
      <c r="O106">
        <v>6.9</v>
      </c>
      <c r="P106">
        <v>7.8</v>
      </c>
      <c r="Q106">
        <v>7</v>
      </c>
      <c r="R106" s="3">
        <f t="shared" si="11"/>
        <v>0.20783664459161147</v>
      </c>
      <c r="S106">
        <v>32.298690000000001</v>
      </c>
      <c r="T106">
        <v>-90.180488999999994</v>
      </c>
      <c r="U106">
        <f t="shared" ca="1" si="6"/>
        <v>1041984.0000000001</v>
      </c>
      <c r="V106">
        <f t="shared" ca="1" si="7"/>
        <v>720</v>
      </c>
      <c r="W106" s="8">
        <f t="shared" ca="1" si="8"/>
        <v>1.4800000000000001E-2</v>
      </c>
      <c r="X106">
        <f t="shared" ca="1" si="9"/>
        <v>8640</v>
      </c>
      <c r="Y106">
        <f t="shared" ca="1" si="10"/>
        <v>120.60000000000001</v>
      </c>
    </row>
    <row r="107" spans="1:25" x14ac:dyDescent="0.3">
      <c r="A107" t="s">
        <v>133</v>
      </c>
      <c r="B107" t="s">
        <v>288</v>
      </c>
      <c r="C107" t="s">
        <v>261</v>
      </c>
      <c r="D107">
        <v>43</v>
      </c>
      <c r="E107">
        <v>7.1</v>
      </c>
      <c r="F107">
        <v>7.5</v>
      </c>
      <c r="G107">
        <v>7.9</v>
      </c>
      <c r="H107">
        <v>7.1</v>
      </c>
      <c r="I107">
        <v>6</v>
      </c>
      <c r="J107">
        <v>5.2</v>
      </c>
      <c r="K107">
        <v>4.9000000000000004</v>
      </c>
      <c r="L107">
        <v>4.5999999999999996</v>
      </c>
      <c r="M107">
        <v>5.3</v>
      </c>
      <c r="N107">
        <v>5.2</v>
      </c>
      <c r="O107">
        <v>6.1</v>
      </c>
      <c r="P107">
        <v>6.9</v>
      </c>
      <c r="Q107">
        <v>6.2</v>
      </c>
      <c r="R107" s="3">
        <f t="shared" si="11"/>
        <v>0.18408388520971303</v>
      </c>
      <c r="S107">
        <v>32.365029999999997</v>
      </c>
      <c r="T107">
        <v>-88.703068999999999</v>
      </c>
      <c r="U107">
        <f t="shared" ca="1" si="6"/>
        <v>751795.19999999995</v>
      </c>
      <c r="V107">
        <f t="shared" ca="1" si="7"/>
        <v>624</v>
      </c>
      <c r="W107" s="8">
        <f t="shared" ca="1" si="8"/>
        <v>0.02</v>
      </c>
      <c r="X107">
        <f t="shared" ca="1" si="9"/>
        <v>7488</v>
      </c>
      <c r="Y107">
        <f t="shared" ca="1" si="10"/>
        <v>100.39999999999999</v>
      </c>
    </row>
    <row r="108" spans="1:25" x14ac:dyDescent="0.3">
      <c r="A108" t="s">
        <v>134</v>
      </c>
      <c r="B108" t="s">
        <v>288</v>
      </c>
      <c r="C108" t="s">
        <v>261</v>
      </c>
      <c r="D108">
        <v>19</v>
      </c>
      <c r="E108">
        <v>7.6</v>
      </c>
      <c r="F108">
        <v>8.1999999999999993</v>
      </c>
      <c r="G108">
        <v>8.3000000000000007</v>
      </c>
      <c r="H108">
        <v>7.8</v>
      </c>
      <c r="I108">
        <v>6.6</v>
      </c>
      <c r="J108">
        <v>5.7</v>
      </c>
      <c r="K108">
        <v>5.3</v>
      </c>
      <c r="L108">
        <v>5.2</v>
      </c>
      <c r="M108">
        <v>6.1</v>
      </c>
      <c r="N108">
        <v>6</v>
      </c>
      <c r="O108">
        <v>6.9</v>
      </c>
      <c r="P108">
        <v>7.5</v>
      </c>
      <c r="Q108">
        <v>6.8</v>
      </c>
      <c r="R108" s="3">
        <f t="shared" si="11"/>
        <v>0.20189845474613688</v>
      </c>
      <c r="S108">
        <v>34.25741</v>
      </c>
      <c r="T108">
        <v>-88.707834000000005</v>
      </c>
      <c r="U108">
        <f t="shared" ca="1" si="6"/>
        <v>1036850.4</v>
      </c>
      <c r="V108">
        <f t="shared" ca="1" si="7"/>
        <v>731</v>
      </c>
      <c r="W108" s="8">
        <f t="shared" ca="1" si="8"/>
        <v>1.37E-2</v>
      </c>
      <c r="X108">
        <f t="shared" ca="1" si="9"/>
        <v>8772</v>
      </c>
      <c r="Y108">
        <f t="shared" ca="1" si="10"/>
        <v>118.2</v>
      </c>
    </row>
    <row r="109" spans="1:25" x14ac:dyDescent="0.3">
      <c r="A109" t="s">
        <v>135</v>
      </c>
      <c r="B109" t="s">
        <v>289</v>
      </c>
      <c r="C109" t="s">
        <v>269</v>
      </c>
      <c r="D109">
        <v>32</v>
      </c>
      <c r="E109">
        <v>10.7</v>
      </c>
      <c r="F109">
        <v>10.8</v>
      </c>
      <c r="G109">
        <v>11.7</v>
      </c>
      <c r="H109">
        <v>11.5</v>
      </c>
      <c r="I109">
        <v>9.1</v>
      </c>
      <c r="J109">
        <v>8.6999999999999993</v>
      </c>
      <c r="K109">
        <v>8.1999999999999993</v>
      </c>
      <c r="L109">
        <v>7.9</v>
      </c>
      <c r="M109">
        <v>8.6</v>
      </c>
      <c r="N109">
        <v>9.3000000000000007</v>
      </c>
      <c r="O109">
        <v>10.6</v>
      </c>
      <c r="P109">
        <v>10.6</v>
      </c>
      <c r="Q109">
        <v>9.8000000000000007</v>
      </c>
      <c r="R109" s="3">
        <f t="shared" si="11"/>
        <v>0.29097130242825614</v>
      </c>
      <c r="S109">
        <v>38.952173999999999</v>
      </c>
      <c r="T109">
        <v>-92.334157000000005</v>
      </c>
      <c r="U109">
        <f t="shared" ca="1" si="6"/>
        <v>723492</v>
      </c>
      <c r="V109">
        <f t="shared" ca="1" si="7"/>
        <v>609</v>
      </c>
      <c r="W109" s="8">
        <f t="shared" ca="1" si="8"/>
        <v>1.3899999999999999E-2</v>
      </c>
      <c r="X109">
        <f t="shared" ca="1" si="9"/>
        <v>7308</v>
      </c>
      <c r="Y109">
        <f t="shared" ca="1" si="10"/>
        <v>99</v>
      </c>
    </row>
    <row r="110" spans="1:25" x14ac:dyDescent="0.3">
      <c r="A110" t="s">
        <v>136</v>
      </c>
      <c r="B110" t="s">
        <v>289</v>
      </c>
      <c r="C110" t="s">
        <v>269</v>
      </c>
      <c r="D110">
        <v>30</v>
      </c>
      <c r="E110">
        <v>11.1</v>
      </c>
      <c r="F110">
        <v>11.1</v>
      </c>
      <c r="G110">
        <v>12.3</v>
      </c>
      <c r="H110">
        <v>12.3</v>
      </c>
      <c r="I110">
        <v>10.3</v>
      </c>
      <c r="J110">
        <v>9.9</v>
      </c>
      <c r="K110">
        <v>9.1999999999999993</v>
      </c>
      <c r="L110">
        <v>8.8000000000000007</v>
      </c>
      <c r="M110">
        <v>9.6</v>
      </c>
      <c r="N110">
        <v>10.5</v>
      </c>
      <c r="O110">
        <v>11.2</v>
      </c>
      <c r="P110">
        <v>10.9</v>
      </c>
      <c r="Q110">
        <v>10.6</v>
      </c>
      <c r="R110" s="3">
        <f t="shared" si="11"/>
        <v>0.3147240618101545</v>
      </c>
      <c r="S110">
        <v>39.102960000000003</v>
      </c>
      <c r="T110">
        <v>-94.583061999999998</v>
      </c>
      <c r="U110">
        <f t="shared" ca="1" si="6"/>
        <v>1175222.4000000001</v>
      </c>
      <c r="V110">
        <f t="shared" ca="1" si="7"/>
        <v>718</v>
      </c>
      <c r="W110" s="8">
        <f t="shared" ca="1" si="8"/>
        <v>2.0400000000000001E-2</v>
      </c>
      <c r="X110">
        <f t="shared" ca="1" si="9"/>
        <v>8616</v>
      </c>
      <c r="Y110">
        <f t="shared" ca="1" si="10"/>
        <v>136.4</v>
      </c>
    </row>
    <row r="111" spans="1:25" x14ac:dyDescent="0.3">
      <c r="A111" t="s">
        <v>137</v>
      </c>
      <c r="B111" t="s">
        <v>289</v>
      </c>
      <c r="C111" t="s">
        <v>269</v>
      </c>
      <c r="D111">
        <v>53</v>
      </c>
      <c r="E111">
        <v>10.6</v>
      </c>
      <c r="F111">
        <v>10.8</v>
      </c>
      <c r="G111">
        <v>11.6</v>
      </c>
      <c r="H111">
        <v>11.3</v>
      </c>
      <c r="I111">
        <v>9.4</v>
      </c>
      <c r="J111">
        <v>8.8000000000000007</v>
      </c>
      <c r="K111">
        <v>8</v>
      </c>
      <c r="L111">
        <v>7.6</v>
      </c>
      <c r="M111">
        <v>8.1999999999999993</v>
      </c>
      <c r="N111">
        <v>8.9</v>
      </c>
      <c r="O111">
        <v>10.199999999999999</v>
      </c>
      <c r="P111">
        <v>10.3</v>
      </c>
      <c r="Q111">
        <v>9.6</v>
      </c>
      <c r="R111" s="3">
        <f t="shared" si="11"/>
        <v>0.28503311258278147</v>
      </c>
      <c r="S111">
        <v>38.627740000000003</v>
      </c>
      <c r="T111">
        <v>-90.199513999999994</v>
      </c>
      <c r="U111">
        <f t="shared" ca="1" si="6"/>
        <v>1071986.3999999999</v>
      </c>
      <c r="V111">
        <f t="shared" ca="1" si="7"/>
        <v>699</v>
      </c>
      <c r="W111" s="8">
        <f t="shared" ca="1" si="8"/>
        <v>1.3899999999999999E-2</v>
      </c>
      <c r="X111">
        <f t="shared" ca="1" si="9"/>
        <v>8388</v>
      </c>
      <c r="Y111">
        <f t="shared" ca="1" si="10"/>
        <v>127.8</v>
      </c>
    </row>
    <row r="112" spans="1:25" x14ac:dyDescent="0.3">
      <c r="A112" t="s">
        <v>94</v>
      </c>
      <c r="B112" t="s">
        <v>289</v>
      </c>
      <c r="C112" t="s">
        <v>269</v>
      </c>
      <c r="D112">
        <v>57</v>
      </c>
      <c r="E112">
        <v>11.4</v>
      </c>
      <c r="F112">
        <v>11.5</v>
      </c>
      <c r="G112">
        <v>12.5</v>
      </c>
      <c r="H112">
        <v>12</v>
      </c>
      <c r="I112">
        <v>10.199999999999999</v>
      </c>
      <c r="J112">
        <v>9.3000000000000007</v>
      </c>
      <c r="K112">
        <v>8.4</v>
      </c>
      <c r="L112">
        <v>8.4</v>
      </c>
      <c r="M112">
        <v>9.1</v>
      </c>
      <c r="N112">
        <v>10.1</v>
      </c>
      <c r="O112">
        <v>11</v>
      </c>
      <c r="P112">
        <v>11.2</v>
      </c>
      <c r="Q112">
        <v>10.4</v>
      </c>
      <c r="R112" s="3">
        <f t="shared" si="11"/>
        <v>0.30878587196467988</v>
      </c>
      <c r="S112">
        <v>37.208975000000002</v>
      </c>
      <c r="T112">
        <v>-93.291563999999994</v>
      </c>
      <c r="U112">
        <f t="shared" ca="1" si="6"/>
        <v>951192</v>
      </c>
      <c r="V112">
        <f t="shared" ca="1" si="7"/>
        <v>660</v>
      </c>
      <c r="W112" s="8">
        <f t="shared" ca="1" si="8"/>
        <v>2.4299999999999999E-2</v>
      </c>
      <c r="X112">
        <f t="shared" ca="1" si="9"/>
        <v>7920</v>
      </c>
      <c r="Y112">
        <f t="shared" ca="1" si="10"/>
        <v>120.1</v>
      </c>
    </row>
    <row r="113" spans="1:25" x14ac:dyDescent="0.3">
      <c r="A113" t="s">
        <v>138</v>
      </c>
      <c r="B113" t="s">
        <v>290</v>
      </c>
      <c r="C113" t="s">
        <v>262</v>
      </c>
      <c r="D113">
        <v>63</v>
      </c>
      <c r="E113">
        <v>13</v>
      </c>
      <c r="F113">
        <v>12.3</v>
      </c>
      <c r="G113">
        <v>11.4</v>
      </c>
      <c r="H113">
        <v>11.4</v>
      </c>
      <c r="I113">
        <v>10.7</v>
      </c>
      <c r="J113">
        <v>10.1</v>
      </c>
      <c r="K113">
        <v>9.5</v>
      </c>
      <c r="L113">
        <v>9.5</v>
      </c>
      <c r="M113">
        <v>10.199999999999999</v>
      </c>
      <c r="N113">
        <v>11</v>
      </c>
      <c r="O113">
        <v>12.2</v>
      </c>
      <c r="P113">
        <v>13</v>
      </c>
      <c r="Q113">
        <v>11.2</v>
      </c>
      <c r="R113" s="3">
        <f t="shared" si="11"/>
        <v>0.33253863134657835</v>
      </c>
      <c r="S113">
        <v>45.783974999999998</v>
      </c>
      <c r="T113">
        <v>-108.50579399999999</v>
      </c>
      <c r="U113">
        <f t="shared" ca="1" si="6"/>
        <v>1245024</v>
      </c>
      <c r="V113">
        <f t="shared" ca="1" si="7"/>
        <v>720</v>
      </c>
      <c r="W113" s="8">
        <f t="shared" ca="1" si="8"/>
        <v>1.1599999999999999E-2</v>
      </c>
      <c r="X113">
        <f t="shared" ca="1" si="9"/>
        <v>8640</v>
      </c>
      <c r="Y113">
        <f t="shared" ca="1" si="10"/>
        <v>144.1</v>
      </c>
    </row>
    <row r="114" spans="1:25" x14ac:dyDescent="0.3">
      <c r="A114" t="s">
        <v>139</v>
      </c>
      <c r="B114" t="s">
        <v>290</v>
      </c>
      <c r="C114" t="s">
        <v>262</v>
      </c>
      <c r="D114">
        <v>33</v>
      </c>
      <c r="E114">
        <v>9.8000000000000007</v>
      </c>
      <c r="F114">
        <v>10.1</v>
      </c>
      <c r="G114">
        <v>11.2</v>
      </c>
      <c r="H114">
        <v>12.3</v>
      </c>
      <c r="I114">
        <v>12.2</v>
      </c>
      <c r="J114">
        <v>11.1</v>
      </c>
      <c r="K114">
        <v>10.5</v>
      </c>
      <c r="L114">
        <v>10.9</v>
      </c>
      <c r="M114">
        <v>10.9</v>
      </c>
      <c r="N114">
        <v>10.6</v>
      </c>
      <c r="O114">
        <v>9.5</v>
      </c>
      <c r="P114">
        <v>9.6999999999999993</v>
      </c>
      <c r="Q114">
        <v>10.7</v>
      </c>
      <c r="R114" s="3">
        <f t="shared" si="11"/>
        <v>0.31769315673289178</v>
      </c>
      <c r="S114">
        <v>48.195107999999998</v>
      </c>
      <c r="T114">
        <v>-106.636841</v>
      </c>
      <c r="U114">
        <f t="shared" ca="1" si="6"/>
        <v>991918.79999999993</v>
      </c>
      <c r="V114">
        <f t="shared" ca="1" si="7"/>
        <v>727</v>
      </c>
      <c r="W114" s="8">
        <f t="shared" ca="1" si="8"/>
        <v>1.4800000000000001E-2</v>
      </c>
      <c r="X114">
        <f t="shared" ca="1" si="9"/>
        <v>8724</v>
      </c>
      <c r="Y114">
        <f t="shared" ca="1" si="10"/>
        <v>113.69999999999999</v>
      </c>
    </row>
    <row r="115" spans="1:25" x14ac:dyDescent="0.3">
      <c r="A115" t="s">
        <v>140</v>
      </c>
      <c r="B115" t="s">
        <v>290</v>
      </c>
      <c r="C115" t="s">
        <v>262</v>
      </c>
      <c r="D115">
        <v>61</v>
      </c>
      <c r="E115">
        <v>14.9</v>
      </c>
      <c r="F115">
        <v>13.9</v>
      </c>
      <c r="G115">
        <v>12.8</v>
      </c>
      <c r="H115">
        <v>12.6</v>
      </c>
      <c r="I115">
        <v>11.3</v>
      </c>
      <c r="J115">
        <v>11.1</v>
      </c>
      <c r="K115">
        <v>10</v>
      </c>
      <c r="L115">
        <v>10.1</v>
      </c>
      <c r="M115">
        <v>11.2</v>
      </c>
      <c r="N115">
        <v>12.9</v>
      </c>
      <c r="O115">
        <v>14.5</v>
      </c>
      <c r="P115">
        <v>15.2</v>
      </c>
      <c r="Q115">
        <v>12.5</v>
      </c>
      <c r="R115" s="3">
        <f t="shared" si="11"/>
        <v>0.37113686534216339</v>
      </c>
      <c r="S115">
        <v>47.507145000000001</v>
      </c>
      <c r="T115">
        <v>-111.306074</v>
      </c>
      <c r="U115">
        <f t="shared" ca="1" si="6"/>
        <v>1041955.2000000001</v>
      </c>
      <c r="V115">
        <f t="shared" ca="1" si="7"/>
        <v>726</v>
      </c>
      <c r="W115" s="8">
        <f t="shared" ca="1" si="8"/>
        <v>8.8000000000000005E-3</v>
      </c>
      <c r="X115">
        <f t="shared" ca="1" si="9"/>
        <v>8712</v>
      </c>
      <c r="Y115">
        <f t="shared" ca="1" si="10"/>
        <v>119.60000000000001</v>
      </c>
    </row>
    <row r="116" spans="1:25" x14ac:dyDescent="0.3">
      <c r="A116" t="s">
        <v>141</v>
      </c>
      <c r="B116" t="s">
        <v>290</v>
      </c>
      <c r="C116" t="s">
        <v>262</v>
      </c>
      <c r="D116">
        <v>3</v>
      </c>
      <c r="E116">
        <v>8.8000000000000007</v>
      </c>
      <c r="F116">
        <v>9.4</v>
      </c>
      <c r="G116">
        <v>10.199999999999999</v>
      </c>
      <c r="H116">
        <v>11.6</v>
      </c>
      <c r="I116">
        <v>12.4</v>
      </c>
      <c r="J116">
        <v>10.8</v>
      </c>
      <c r="K116">
        <v>9.8000000000000007</v>
      </c>
      <c r="L116">
        <v>9</v>
      </c>
      <c r="M116">
        <v>9.4</v>
      </c>
      <c r="N116">
        <v>9.1</v>
      </c>
      <c r="O116">
        <v>10.6</v>
      </c>
      <c r="P116">
        <v>10.8</v>
      </c>
      <c r="Q116">
        <v>10.199999999999999</v>
      </c>
      <c r="R116" s="3">
        <f t="shared" si="11"/>
        <v>0.30284768211920526</v>
      </c>
      <c r="S116">
        <v>48.552886999999998</v>
      </c>
      <c r="T116">
        <v>-109.67097699999999</v>
      </c>
      <c r="U116">
        <f t="shared" ca="1" si="6"/>
        <v>657475.20000000007</v>
      </c>
      <c r="V116">
        <f t="shared" ca="1" si="7"/>
        <v>617</v>
      </c>
      <c r="W116" s="8">
        <f t="shared" ca="1" si="8"/>
        <v>1.0500000000000001E-2</v>
      </c>
      <c r="X116">
        <f t="shared" ca="1" si="9"/>
        <v>7404</v>
      </c>
      <c r="Y116">
        <f t="shared" ca="1" si="10"/>
        <v>88.800000000000011</v>
      </c>
    </row>
    <row r="117" spans="1:25" x14ac:dyDescent="0.3">
      <c r="A117" t="s">
        <v>142</v>
      </c>
      <c r="B117" t="s">
        <v>290</v>
      </c>
      <c r="C117" t="s">
        <v>262</v>
      </c>
      <c r="D117">
        <v>62</v>
      </c>
      <c r="E117">
        <v>6.7</v>
      </c>
      <c r="F117">
        <v>7.3</v>
      </c>
      <c r="G117">
        <v>8.1999999999999993</v>
      </c>
      <c r="H117">
        <v>9.1</v>
      </c>
      <c r="I117">
        <v>8.8000000000000007</v>
      </c>
      <c r="J117">
        <v>8.5</v>
      </c>
      <c r="K117">
        <v>7.8</v>
      </c>
      <c r="L117">
        <v>7.4</v>
      </c>
      <c r="M117">
        <v>7.4</v>
      </c>
      <c r="N117">
        <v>7.1</v>
      </c>
      <c r="O117">
        <v>7.1</v>
      </c>
      <c r="P117">
        <v>6.7</v>
      </c>
      <c r="Q117">
        <v>7.7</v>
      </c>
      <c r="R117" s="3">
        <f t="shared" si="11"/>
        <v>0.22862030905077266</v>
      </c>
      <c r="S117">
        <v>46.589759999999998</v>
      </c>
      <c r="T117">
        <v>-112.021204</v>
      </c>
      <c r="U117">
        <f t="shared" ca="1" si="6"/>
        <v>902095.2</v>
      </c>
      <c r="V117">
        <f t="shared" ca="1" si="7"/>
        <v>698</v>
      </c>
      <c r="W117" s="8">
        <f t="shared" ca="1" si="8"/>
        <v>1.6899999999999998E-2</v>
      </c>
      <c r="X117">
        <f t="shared" ca="1" si="9"/>
        <v>8376</v>
      </c>
      <c r="Y117">
        <f t="shared" ca="1" si="10"/>
        <v>107.69999999999999</v>
      </c>
    </row>
    <row r="118" spans="1:25" x14ac:dyDescent="0.3">
      <c r="A118" t="s">
        <v>143</v>
      </c>
      <c r="B118" t="s">
        <v>290</v>
      </c>
      <c r="C118" t="s">
        <v>262</v>
      </c>
      <c r="D118">
        <v>40</v>
      </c>
      <c r="E118">
        <v>5.6</v>
      </c>
      <c r="F118">
        <v>5.6</v>
      </c>
      <c r="G118">
        <v>6.7</v>
      </c>
      <c r="H118">
        <v>7.7</v>
      </c>
      <c r="I118">
        <v>7.4</v>
      </c>
      <c r="J118">
        <v>6.9</v>
      </c>
      <c r="K118">
        <v>6.3</v>
      </c>
      <c r="L118">
        <v>6.3</v>
      </c>
      <c r="M118">
        <v>6.1</v>
      </c>
      <c r="N118">
        <v>5.0999999999999996</v>
      </c>
      <c r="O118">
        <v>5.3</v>
      </c>
      <c r="P118">
        <v>5.0999999999999996</v>
      </c>
      <c r="Q118">
        <v>6.2</v>
      </c>
      <c r="R118" s="3">
        <f t="shared" si="11"/>
        <v>0.18408388520971303</v>
      </c>
      <c r="S118">
        <v>48.201639999999998</v>
      </c>
      <c r="T118">
        <v>-114.31490100000001</v>
      </c>
      <c r="U118">
        <f t="shared" ca="1" si="6"/>
        <v>1208090.3999999999</v>
      </c>
      <c r="V118">
        <f t="shared" ca="1" si="7"/>
        <v>737</v>
      </c>
      <c r="W118" s="8">
        <f t="shared" ca="1" si="8"/>
        <v>1.61E-2</v>
      </c>
      <c r="X118">
        <f t="shared" ca="1" si="9"/>
        <v>8844</v>
      </c>
      <c r="Y118">
        <f t="shared" ca="1" si="10"/>
        <v>136.6</v>
      </c>
    </row>
    <row r="119" spans="1:25" x14ac:dyDescent="0.3">
      <c r="A119" t="s">
        <v>144</v>
      </c>
      <c r="B119" t="s">
        <v>290</v>
      </c>
      <c r="C119" t="s">
        <v>262</v>
      </c>
      <c r="D119">
        <v>58</v>
      </c>
      <c r="E119">
        <v>5.0999999999999996</v>
      </c>
      <c r="F119">
        <v>5.6</v>
      </c>
      <c r="G119">
        <v>6.7</v>
      </c>
      <c r="H119">
        <v>7.6</v>
      </c>
      <c r="I119">
        <v>7.4</v>
      </c>
      <c r="J119">
        <v>7.2</v>
      </c>
      <c r="K119">
        <v>6.9</v>
      </c>
      <c r="L119">
        <v>6.7</v>
      </c>
      <c r="M119">
        <v>6</v>
      </c>
      <c r="N119">
        <v>5.0999999999999996</v>
      </c>
      <c r="O119">
        <v>5</v>
      </c>
      <c r="P119">
        <v>4.7</v>
      </c>
      <c r="Q119">
        <v>6.2</v>
      </c>
      <c r="R119" s="3">
        <f t="shared" si="11"/>
        <v>0.18408388520971303</v>
      </c>
      <c r="S119">
        <v>46.872779999999999</v>
      </c>
      <c r="T119">
        <v>-113.996234</v>
      </c>
      <c r="U119">
        <f t="shared" ca="1" si="6"/>
        <v>1135569.6000000001</v>
      </c>
      <c r="V119">
        <f t="shared" ca="1" si="7"/>
        <v>737</v>
      </c>
      <c r="W119" s="8">
        <f t="shared" ca="1" si="8"/>
        <v>1.2E-2</v>
      </c>
      <c r="X119">
        <f t="shared" ca="1" si="9"/>
        <v>8844</v>
      </c>
      <c r="Y119">
        <f t="shared" ca="1" si="10"/>
        <v>128.4</v>
      </c>
    </row>
    <row r="120" spans="1:25" x14ac:dyDescent="0.3">
      <c r="A120" t="s">
        <v>145</v>
      </c>
      <c r="B120" t="s">
        <v>291</v>
      </c>
      <c r="C120" t="s">
        <v>269</v>
      </c>
      <c r="D120">
        <v>53</v>
      </c>
      <c r="E120">
        <v>11.7</v>
      </c>
      <c r="F120">
        <v>11.7</v>
      </c>
      <c r="G120">
        <v>13.1</v>
      </c>
      <c r="H120">
        <v>14</v>
      </c>
      <c r="I120">
        <v>12.6</v>
      </c>
      <c r="J120">
        <v>11.8</v>
      </c>
      <c r="K120">
        <v>10.5</v>
      </c>
      <c r="L120">
        <v>10.3</v>
      </c>
      <c r="M120">
        <v>11</v>
      </c>
      <c r="N120">
        <v>11.2</v>
      </c>
      <c r="O120">
        <v>11.8</v>
      </c>
      <c r="P120">
        <v>11.6</v>
      </c>
      <c r="Q120">
        <v>11.8</v>
      </c>
      <c r="R120" s="3">
        <f t="shared" si="11"/>
        <v>0.3503532008830022</v>
      </c>
      <c r="S120">
        <v>40.92474</v>
      </c>
      <c r="T120">
        <v>-98.339904000000004</v>
      </c>
      <c r="U120">
        <f t="shared" ca="1" si="6"/>
        <v>1182691.2000000002</v>
      </c>
      <c r="V120">
        <f t="shared" ca="1" si="7"/>
        <v>706</v>
      </c>
      <c r="W120" s="8">
        <f t="shared" ca="1" si="8"/>
        <v>2.1499999999999998E-2</v>
      </c>
      <c r="X120">
        <f t="shared" ca="1" si="9"/>
        <v>8472</v>
      </c>
      <c r="Y120">
        <f t="shared" ca="1" si="10"/>
        <v>139.60000000000002</v>
      </c>
    </row>
    <row r="121" spans="1:25" x14ac:dyDescent="0.3">
      <c r="A121" t="s">
        <v>146</v>
      </c>
      <c r="B121" t="s">
        <v>291</v>
      </c>
      <c r="C121" t="s">
        <v>269</v>
      </c>
      <c r="D121">
        <v>30</v>
      </c>
      <c r="E121">
        <v>9.6</v>
      </c>
      <c r="F121">
        <v>10</v>
      </c>
      <c r="G121">
        <v>11.3</v>
      </c>
      <c r="H121">
        <v>12.1</v>
      </c>
      <c r="I121">
        <v>10.5</v>
      </c>
      <c r="J121">
        <v>9.8000000000000007</v>
      </c>
      <c r="K121">
        <v>9.3000000000000007</v>
      </c>
      <c r="L121">
        <v>9.1</v>
      </c>
      <c r="M121">
        <v>9.5</v>
      </c>
      <c r="N121">
        <v>9.9</v>
      </c>
      <c r="O121">
        <v>9.9</v>
      </c>
      <c r="P121">
        <v>9.6</v>
      </c>
      <c r="Q121">
        <v>10.1</v>
      </c>
      <c r="R121" s="3">
        <f t="shared" si="11"/>
        <v>0.29987858719646798</v>
      </c>
      <c r="S121">
        <v>40.81362</v>
      </c>
      <c r="T121">
        <v>-96.707739000000004</v>
      </c>
      <c r="U121">
        <f t="shared" ca="1" si="6"/>
        <v>1245216</v>
      </c>
      <c r="V121">
        <f t="shared" ca="1" si="7"/>
        <v>680</v>
      </c>
      <c r="W121" s="8">
        <f t="shared" ca="1" si="8"/>
        <v>1.6899999999999998E-2</v>
      </c>
      <c r="X121">
        <f t="shared" ca="1" si="9"/>
        <v>8160</v>
      </c>
      <c r="Y121">
        <f t="shared" ca="1" si="10"/>
        <v>152.6</v>
      </c>
    </row>
    <row r="122" spans="1:25" x14ac:dyDescent="0.3">
      <c r="A122" t="s">
        <v>147</v>
      </c>
      <c r="B122" t="s">
        <v>291</v>
      </c>
      <c r="C122" t="s">
        <v>269</v>
      </c>
      <c r="D122">
        <v>26</v>
      </c>
      <c r="E122">
        <v>11.6</v>
      </c>
      <c r="F122">
        <v>11.5</v>
      </c>
      <c r="G122">
        <v>12.5</v>
      </c>
      <c r="H122">
        <v>13.1</v>
      </c>
      <c r="I122">
        <v>11.5</v>
      </c>
      <c r="J122">
        <v>10.8</v>
      </c>
      <c r="K122">
        <v>9.6999999999999993</v>
      </c>
      <c r="L122">
        <v>9.5</v>
      </c>
      <c r="M122">
        <v>10.3</v>
      </c>
      <c r="N122">
        <v>11</v>
      </c>
      <c r="O122">
        <v>11.4</v>
      </c>
      <c r="P122">
        <v>11.3</v>
      </c>
      <c r="Q122">
        <v>11.2</v>
      </c>
      <c r="R122" s="3">
        <f t="shared" si="11"/>
        <v>0.33253863134657835</v>
      </c>
      <c r="S122">
        <v>42.032699999999998</v>
      </c>
      <c r="T122">
        <v>-97.411063999999996</v>
      </c>
      <c r="U122">
        <f t="shared" ca="1" si="6"/>
        <v>1029369.6000000001</v>
      </c>
      <c r="V122">
        <f t="shared" ca="1" si="7"/>
        <v>666</v>
      </c>
      <c r="W122" s="8">
        <f t="shared" ca="1" si="8"/>
        <v>1.2200000000000001E-2</v>
      </c>
      <c r="X122">
        <f t="shared" ca="1" si="9"/>
        <v>7992</v>
      </c>
      <c r="Y122">
        <f t="shared" ca="1" si="10"/>
        <v>128.80000000000001</v>
      </c>
    </row>
    <row r="123" spans="1:25" x14ac:dyDescent="0.3">
      <c r="A123" t="s">
        <v>148</v>
      </c>
      <c r="B123" t="s">
        <v>291</v>
      </c>
      <c r="C123" t="s">
        <v>269</v>
      </c>
      <c r="D123">
        <v>50</v>
      </c>
      <c r="E123">
        <v>9.1999999999999993</v>
      </c>
      <c r="F123">
        <v>9.8000000000000007</v>
      </c>
      <c r="G123">
        <v>11.5</v>
      </c>
      <c r="H123">
        <v>12.6</v>
      </c>
      <c r="I123">
        <v>11.5</v>
      </c>
      <c r="J123">
        <v>10.4</v>
      </c>
      <c r="K123">
        <v>9.5</v>
      </c>
      <c r="L123">
        <v>9.1999999999999993</v>
      </c>
      <c r="M123">
        <v>9.6999999999999993</v>
      </c>
      <c r="N123">
        <v>9.6</v>
      </c>
      <c r="O123">
        <v>9.5</v>
      </c>
      <c r="P123">
        <v>9</v>
      </c>
      <c r="Q123">
        <v>10.1</v>
      </c>
      <c r="R123" s="3">
        <f t="shared" si="11"/>
        <v>0.29987858719646798</v>
      </c>
      <c r="S123">
        <v>41.136324999999999</v>
      </c>
      <c r="T123">
        <v>-100.763329</v>
      </c>
      <c r="U123">
        <f t="shared" ca="1" si="6"/>
        <v>907788</v>
      </c>
      <c r="V123">
        <f t="shared" ca="1" si="7"/>
        <v>707</v>
      </c>
      <c r="W123" s="8">
        <f t="shared" ca="1" si="8"/>
        <v>2.3300000000000001E-2</v>
      </c>
      <c r="X123">
        <f t="shared" ca="1" si="9"/>
        <v>8484</v>
      </c>
      <c r="Y123">
        <f t="shared" ca="1" si="10"/>
        <v>107</v>
      </c>
    </row>
    <row r="124" spans="1:25" x14ac:dyDescent="0.3">
      <c r="A124" t="s">
        <v>149</v>
      </c>
      <c r="B124" t="s">
        <v>291</v>
      </c>
      <c r="C124" t="s">
        <v>269</v>
      </c>
      <c r="D124">
        <v>66</v>
      </c>
      <c r="E124">
        <v>10.9</v>
      </c>
      <c r="F124">
        <v>11.1</v>
      </c>
      <c r="G124">
        <v>12.2</v>
      </c>
      <c r="H124">
        <v>12.6</v>
      </c>
      <c r="I124">
        <v>10.9</v>
      </c>
      <c r="J124">
        <v>10.1</v>
      </c>
      <c r="K124">
        <v>8.8000000000000007</v>
      </c>
      <c r="L124">
        <v>8.8000000000000007</v>
      </c>
      <c r="M124">
        <v>9.4</v>
      </c>
      <c r="N124">
        <v>9.8000000000000007</v>
      </c>
      <c r="O124">
        <v>10.9</v>
      </c>
      <c r="P124">
        <v>10.7</v>
      </c>
      <c r="Q124">
        <v>10.5</v>
      </c>
      <c r="R124" s="3">
        <f t="shared" si="11"/>
        <v>0.31175496688741722</v>
      </c>
      <c r="S124">
        <v>41.260688999999999</v>
      </c>
      <c r="T124">
        <v>-95.939948999999999</v>
      </c>
      <c r="U124">
        <f t="shared" ca="1" si="6"/>
        <v>1008698.4</v>
      </c>
      <c r="V124">
        <f t="shared" ca="1" si="7"/>
        <v>603</v>
      </c>
      <c r="W124" s="8">
        <f t="shared" ca="1" si="8"/>
        <v>1.18E-2</v>
      </c>
      <c r="X124">
        <f t="shared" ca="1" si="9"/>
        <v>7236</v>
      </c>
      <c r="Y124">
        <f t="shared" ca="1" si="10"/>
        <v>139.4</v>
      </c>
    </row>
    <row r="125" spans="1:25" x14ac:dyDescent="0.3">
      <c r="A125" t="s">
        <v>150</v>
      </c>
      <c r="B125" t="s">
        <v>291</v>
      </c>
      <c r="C125" t="s">
        <v>269</v>
      </c>
      <c r="D125">
        <v>9</v>
      </c>
      <c r="E125">
        <v>9.9</v>
      </c>
      <c r="F125">
        <v>9.1999999999999993</v>
      </c>
      <c r="G125">
        <v>10.5</v>
      </c>
      <c r="H125">
        <v>10.199999999999999</v>
      </c>
      <c r="I125">
        <v>8.9</v>
      </c>
      <c r="J125">
        <v>8.3000000000000007</v>
      </c>
      <c r="K125">
        <v>7.5</v>
      </c>
      <c r="L125">
        <v>7.6</v>
      </c>
      <c r="M125">
        <v>8.6</v>
      </c>
      <c r="N125">
        <v>9</v>
      </c>
      <c r="O125">
        <v>9.6999999999999993</v>
      </c>
      <c r="P125">
        <v>9.8000000000000007</v>
      </c>
      <c r="Q125">
        <v>9.1</v>
      </c>
      <c r="R125" s="3">
        <f t="shared" si="11"/>
        <v>0.27018763796909495</v>
      </c>
      <c r="S125">
        <v>41.260674999999999</v>
      </c>
      <c r="T125">
        <v>-95.940468999999993</v>
      </c>
      <c r="U125">
        <f t="shared" ca="1" si="6"/>
        <v>1109016</v>
      </c>
      <c r="V125">
        <f t="shared" ca="1" si="7"/>
        <v>633</v>
      </c>
      <c r="W125" s="8">
        <f t="shared" ca="1" si="8"/>
        <v>1.43E-2</v>
      </c>
      <c r="X125">
        <f t="shared" ca="1" si="9"/>
        <v>7596</v>
      </c>
      <c r="Y125">
        <f t="shared" ca="1" si="10"/>
        <v>146</v>
      </c>
    </row>
    <row r="126" spans="1:25" x14ac:dyDescent="0.3">
      <c r="A126" t="s">
        <v>151</v>
      </c>
      <c r="B126" t="s">
        <v>291</v>
      </c>
      <c r="C126" t="s">
        <v>269</v>
      </c>
      <c r="D126">
        <v>51</v>
      </c>
      <c r="E126">
        <v>10.6</v>
      </c>
      <c r="F126">
        <v>11.1</v>
      </c>
      <c r="G126">
        <v>12</v>
      </c>
      <c r="H126">
        <v>12.5</v>
      </c>
      <c r="I126">
        <v>11.8</v>
      </c>
      <c r="J126">
        <v>10.5</v>
      </c>
      <c r="K126">
        <v>9.3000000000000007</v>
      </c>
      <c r="L126">
        <v>8.9</v>
      </c>
      <c r="M126">
        <v>9.4</v>
      </c>
      <c r="N126">
        <v>9.6999999999999993</v>
      </c>
      <c r="O126">
        <v>10.199999999999999</v>
      </c>
      <c r="P126">
        <v>10.4</v>
      </c>
      <c r="Q126">
        <v>10.5</v>
      </c>
      <c r="R126" s="3">
        <f t="shared" si="11"/>
        <v>0.31175496688741722</v>
      </c>
      <c r="S126">
        <v>41.861775000000002</v>
      </c>
      <c r="T126">
        <v>-103.66275899999999</v>
      </c>
      <c r="U126">
        <f t="shared" ca="1" si="6"/>
        <v>1024264.8</v>
      </c>
      <c r="V126">
        <f t="shared" ca="1" si="7"/>
        <v>706</v>
      </c>
      <c r="W126" s="8">
        <f t="shared" ca="1" si="8"/>
        <v>8.5000000000000006E-3</v>
      </c>
      <c r="X126">
        <f t="shared" ca="1" si="9"/>
        <v>8472</v>
      </c>
      <c r="Y126">
        <f t="shared" ca="1" si="10"/>
        <v>120.9</v>
      </c>
    </row>
    <row r="127" spans="1:25" x14ac:dyDescent="0.3">
      <c r="A127" t="s">
        <v>152</v>
      </c>
      <c r="B127" t="s">
        <v>291</v>
      </c>
      <c r="C127" t="s">
        <v>269</v>
      </c>
      <c r="D127">
        <v>34</v>
      </c>
      <c r="E127">
        <v>9.3000000000000007</v>
      </c>
      <c r="F127">
        <v>9.4</v>
      </c>
      <c r="G127">
        <v>10.4</v>
      </c>
      <c r="H127">
        <v>11.1</v>
      </c>
      <c r="I127">
        <v>11</v>
      </c>
      <c r="J127">
        <v>9.9</v>
      </c>
      <c r="K127">
        <v>9.1</v>
      </c>
      <c r="L127">
        <v>9.1999999999999993</v>
      </c>
      <c r="M127">
        <v>9.6999999999999993</v>
      </c>
      <c r="N127">
        <v>9.5</v>
      </c>
      <c r="O127">
        <v>9.6999999999999993</v>
      </c>
      <c r="P127">
        <v>9.1999999999999993</v>
      </c>
      <c r="Q127">
        <v>9.8000000000000007</v>
      </c>
      <c r="R127" s="3">
        <f t="shared" si="11"/>
        <v>0.29097130242825614</v>
      </c>
      <c r="S127">
        <v>42.873845000000003</v>
      </c>
      <c r="T127">
        <v>-100.55062700000001</v>
      </c>
      <c r="U127">
        <f t="shared" ca="1" si="6"/>
        <v>948156</v>
      </c>
      <c r="V127">
        <f t="shared" ca="1" si="7"/>
        <v>605</v>
      </c>
      <c r="W127" s="8">
        <f t="shared" ca="1" si="8"/>
        <v>2.3900000000000001E-2</v>
      </c>
      <c r="X127">
        <f t="shared" ca="1" si="9"/>
        <v>7260</v>
      </c>
      <c r="Y127">
        <f t="shared" ca="1" si="10"/>
        <v>130.6</v>
      </c>
    </row>
    <row r="128" spans="1:25" x14ac:dyDescent="0.3">
      <c r="A128" t="s">
        <v>153</v>
      </c>
      <c r="B128" t="s">
        <v>292</v>
      </c>
      <c r="C128" t="s">
        <v>262</v>
      </c>
      <c r="D128">
        <v>47</v>
      </c>
      <c r="E128">
        <v>5.2</v>
      </c>
      <c r="F128">
        <v>5.7</v>
      </c>
      <c r="G128">
        <v>6.6</v>
      </c>
      <c r="H128">
        <v>7.2</v>
      </c>
      <c r="I128">
        <v>6.8</v>
      </c>
      <c r="J128">
        <v>6.7</v>
      </c>
      <c r="K128">
        <v>6.2</v>
      </c>
      <c r="L128">
        <v>5.9</v>
      </c>
      <c r="M128">
        <v>5.4</v>
      </c>
      <c r="N128">
        <v>5</v>
      </c>
      <c r="O128">
        <v>5.0999999999999996</v>
      </c>
      <c r="P128">
        <v>5</v>
      </c>
      <c r="Q128">
        <v>5.9</v>
      </c>
      <c r="R128" s="3">
        <f t="shared" si="11"/>
        <v>0.1751766004415011</v>
      </c>
      <c r="S128">
        <v>40.835630000000002</v>
      </c>
      <c r="T128">
        <v>-115.767629</v>
      </c>
      <c r="U128">
        <f t="shared" ca="1" si="6"/>
        <v>649466.4</v>
      </c>
      <c r="V128">
        <f t="shared" ca="1" si="7"/>
        <v>674</v>
      </c>
      <c r="W128" s="8">
        <f t="shared" ca="1" si="8"/>
        <v>1.2500000000000001E-2</v>
      </c>
      <c r="X128">
        <f t="shared" ca="1" si="9"/>
        <v>8088</v>
      </c>
      <c r="Y128">
        <f t="shared" ca="1" si="10"/>
        <v>80.3</v>
      </c>
    </row>
    <row r="129" spans="1:25" x14ac:dyDescent="0.3">
      <c r="A129" t="s">
        <v>154</v>
      </c>
      <c r="B129" t="s">
        <v>292</v>
      </c>
      <c r="C129" t="s">
        <v>262</v>
      </c>
      <c r="D129">
        <v>61</v>
      </c>
      <c r="E129">
        <v>10.1</v>
      </c>
      <c r="F129">
        <v>10.3</v>
      </c>
      <c r="G129">
        <v>10.7</v>
      </c>
      <c r="H129">
        <v>10.9</v>
      </c>
      <c r="I129">
        <v>10.7</v>
      </c>
      <c r="J129">
        <v>10.6</v>
      </c>
      <c r="K129">
        <v>10.3</v>
      </c>
      <c r="L129">
        <v>10.4</v>
      </c>
      <c r="M129">
        <v>10.3</v>
      </c>
      <c r="N129">
        <v>10</v>
      </c>
      <c r="O129">
        <v>9.9</v>
      </c>
      <c r="P129">
        <v>9.9</v>
      </c>
      <c r="Q129">
        <v>10.3</v>
      </c>
      <c r="R129" s="3">
        <f t="shared" si="11"/>
        <v>0.3058167770419426</v>
      </c>
      <c r="S129">
        <v>39.247050000000002</v>
      </c>
      <c r="T129">
        <v>-114.894835</v>
      </c>
      <c r="U129">
        <f t="shared" ca="1" si="6"/>
        <v>1052409.5999999999</v>
      </c>
      <c r="V129">
        <f t="shared" ca="1" si="7"/>
        <v>726</v>
      </c>
      <c r="W129" s="8">
        <f t="shared" ca="1" si="8"/>
        <v>1.0999999999999999E-2</v>
      </c>
      <c r="X129">
        <f t="shared" ca="1" si="9"/>
        <v>8712</v>
      </c>
      <c r="Y129">
        <f t="shared" ca="1" si="10"/>
        <v>120.8</v>
      </c>
    </row>
    <row r="130" spans="1:25" x14ac:dyDescent="0.3">
      <c r="A130" t="s">
        <v>155</v>
      </c>
      <c r="B130" t="s">
        <v>292</v>
      </c>
      <c r="C130" t="s">
        <v>262</v>
      </c>
      <c r="D130">
        <v>54</v>
      </c>
      <c r="E130">
        <v>7.4</v>
      </c>
      <c r="F130">
        <v>8.5</v>
      </c>
      <c r="G130">
        <v>10.1</v>
      </c>
      <c r="H130">
        <v>11</v>
      </c>
      <c r="I130">
        <v>11</v>
      </c>
      <c r="J130">
        <v>11</v>
      </c>
      <c r="K130">
        <v>10.199999999999999</v>
      </c>
      <c r="L130">
        <v>9.6</v>
      </c>
      <c r="M130">
        <v>9</v>
      </c>
      <c r="N130">
        <v>8.1</v>
      </c>
      <c r="O130">
        <v>7.8</v>
      </c>
      <c r="P130">
        <v>7.3</v>
      </c>
      <c r="Q130">
        <v>9.1999999999999993</v>
      </c>
      <c r="R130" s="3">
        <f t="shared" si="11"/>
        <v>0.27315673289183223</v>
      </c>
      <c r="S130">
        <v>36.171914999999998</v>
      </c>
      <c r="T130">
        <v>-115.139974</v>
      </c>
      <c r="U130">
        <f t="shared" ca="1" si="6"/>
        <v>848206.79999999993</v>
      </c>
      <c r="V130">
        <f t="shared" ca="1" si="7"/>
        <v>679</v>
      </c>
      <c r="W130" s="8">
        <f t="shared" ca="1" si="8"/>
        <v>2.1399999999999999E-2</v>
      </c>
      <c r="X130">
        <f t="shared" ca="1" si="9"/>
        <v>8148</v>
      </c>
      <c r="Y130">
        <f t="shared" ca="1" si="10"/>
        <v>104.1</v>
      </c>
    </row>
    <row r="131" spans="1:25" x14ac:dyDescent="0.3">
      <c r="A131" t="s">
        <v>156</v>
      </c>
      <c r="B131" t="s">
        <v>292</v>
      </c>
      <c r="C131" t="s">
        <v>262</v>
      </c>
      <c r="D131">
        <v>60</v>
      </c>
      <c r="E131">
        <v>5.6</v>
      </c>
      <c r="F131">
        <v>6.2</v>
      </c>
      <c r="G131">
        <v>7.8</v>
      </c>
      <c r="H131">
        <v>8.1999999999999993</v>
      </c>
      <c r="I131">
        <v>8</v>
      </c>
      <c r="J131">
        <v>7.7</v>
      </c>
      <c r="K131">
        <v>7.2</v>
      </c>
      <c r="L131">
        <v>6.6</v>
      </c>
      <c r="M131">
        <v>5.8</v>
      </c>
      <c r="N131">
        <v>5.4</v>
      </c>
      <c r="O131">
        <v>5.5</v>
      </c>
      <c r="P131">
        <v>5.3</v>
      </c>
      <c r="Q131">
        <v>6.6</v>
      </c>
      <c r="R131" s="3">
        <f t="shared" si="11"/>
        <v>0.19596026490066226</v>
      </c>
      <c r="S131">
        <v>39.527394999999999</v>
      </c>
      <c r="T131">
        <v>-119.81341399999999</v>
      </c>
      <c r="U131">
        <f t="shared" ca="1" si="6"/>
        <v>1057101.5999999999</v>
      </c>
      <c r="V131">
        <f t="shared" ca="1" si="7"/>
        <v>674</v>
      </c>
      <c r="W131" s="8">
        <f t="shared" ca="1" si="8"/>
        <v>2.3900000000000001E-2</v>
      </c>
      <c r="X131">
        <f t="shared" ca="1" si="9"/>
        <v>8088</v>
      </c>
      <c r="Y131">
        <f t="shared" ca="1" si="10"/>
        <v>130.69999999999999</v>
      </c>
    </row>
    <row r="132" spans="1:25" x14ac:dyDescent="0.3">
      <c r="A132" t="s">
        <v>157</v>
      </c>
      <c r="B132" t="s">
        <v>292</v>
      </c>
      <c r="C132" t="s">
        <v>262</v>
      </c>
      <c r="D132">
        <v>46</v>
      </c>
      <c r="E132">
        <v>7.6</v>
      </c>
      <c r="F132">
        <v>8</v>
      </c>
      <c r="G132">
        <v>8.6</v>
      </c>
      <c r="H132">
        <v>8.6</v>
      </c>
      <c r="I132">
        <v>8.6</v>
      </c>
      <c r="J132">
        <v>8.5</v>
      </c>
      <c r="K132">
        <v>8.4</v>
      </c>
      <c r="L132">
        <v>7.8</v>
      </c>
      <c r="M132">
        <v>7.6</v>
      </c>
      <c r="N132">
        <v>7.3</v>
      </c>
      <c r="O132">
        <v>7.2</v>
      </c>
      <c r="P132">
        <v>7.4</v>
      </c>
      <c r="Q132">
        <v>8</v>
      </c>
      <c r="R132" s="3">
        <f t="shared" si="11"/>
        <v>0.23752759381898456</v>
      </c>
      <c r="S132">
        <v>40.973176000000002</v>
      </c>
      <c r="T132">
        <v>-117.73531</v>
      </c>
      <c r="U132">
        <f t="shared" ref="U132:U195" ca="1" si="12">Y132*X132</f>
        <v>809655.60000000009</v>
      </c>
      <c r="V132">
        <f t="shared" ref="V132:V195" ca="1" si="13">RANDBETWEEN(603,737)</f>
        <v>731</v>
      </c>
      <c r="W132" s="8">
        <f t="shared" ref="W132:W195" ca="1" si="14">ROUND(RAND()*2%+0.5%,4)</f>
        <v>2.2200000000000001E-2</v>
      </c>
      <c r="X132">
        <f t="shared" ref="X132:X195" ca="1" si="15">V132*12</f>
        <v>8772</v>
      </c>
      <c r="Y132">
        <f t="shared" ref="Y132:Y195" ca="1" si="16">ROUND(RAND()*8+8,2)*10</f>
        <v>92.300000000000011</v>
      </c>
    </row>
    <row r="133" spans="1:25" x14ac:dyDescent="0.3">
      <c r="A133" t="s">
        <v>158</v>
      </c>
      <c r="B133" t="s">
        <v>293</v>
      </c>
      <c r="C133" t="s">
        <v>265</v>
      </c>
      <c r="D133">
        <v>60</v>
      </c>
      <c r="E133">
        <v>7.2</v>
      </c>
      <c r="F133">
        <v>7.9</v>
      </c>
      <c r="G133">
        <v>8.1</v>
      </c>
      <c r="H133">
        <v>7.8</v>
      </c>
      <c r="I133">
        <v>7</v>
      </c>
      <c r="J133">
        <v>6.5</v>
      </c>
      <c r="K133">
        <v>5.7</v>
      </c>
      <c r="L133">
        <v>5.4</v>
      </c>
      <c r="M133">
        <v>5.6</v>
      </c>
      <c r="N133">
        <v>6</v>
      </c>
      <c r="O133">
        <v>6.6</v>
      </c>
      <c r="P133">
        <v>7</v>
      </c>
      <c r="Q133">
        <v>6.7</v>
      </c>
      <c r="R133" s="3">
        <f t="shared" ref="R133:R196" si="17">Q133*(0.269)/9.06</f>
        <v>0.19892935982339957</v>
      </c>
      <c r="S133">
        <v>43.207250000000002</v>
      </c>
      <c r="T133">
        <v>-71.536603999999997</v>
      </c>
      <c r="U133">
        <f t="shared" ca="1" si="12"/>
        <v>1139354.3999999999</v>
      </c>
      <c r="V133">
        <f t="shared" ca="1" si="13"/>
        <v>727</v>
      </c>
      <c r="W133" s="8">
        <f t="shared" ca="1" si="14"/>
        <v>2.06E-2</v>
      </c>
      <c r="X133">
        <f t="shared" ca="1" si="15"/>
        <v>8724</v>
      </c>
      <c r="Y133">
        <f t="shared" ca="1" si="16"/>
        <v>130.6</v>
      </c>
    </row>
    <row r="134" spans="1:25" x14ac:dyDescent="0.3">
      <c r="A134" t="s">
        <v>159</v>
      </c>
      <c r="B134" t="s">
        <v>294</v>
      </c>
      <c r="C134" t="s">
        <v>295</v>
      </c>
      <c r="D134">
        <v>44</v>
      </c>
      <c r="E134">
        <v>10.7</v>
      </c>
      <c r="F134">
        <v>11.1</v>
      </c>
      <c r="G134">
        <v>11.8</v>
      </c>
      <c r="H134">
        <v>11.4</v>
      </c>
      <c r="I134">
        <v>10.1</v>
      </c>
      <c r="J134">
        <v>9.1</v>
      </c>
      <c r="K134">
        <v>8.3000000000000007</v>
      </c>
      <c r="L134">
        <v>7.9</v>
      </c>
      <c r="M134">
        <v>8.3000000000000007</v>
      </c>
      <c r="N134">
        <v>8.6999999999999993</v>
      </c>
      <c r="O134">
        <v>9.9</v>
      </c>
      <c r="P134">
        <v>10.3</v>
      </c>
      <c r="Q134">
        <v>9.8000000000000007</v>
      </c>
      <c r="R134" s="3">
        <f t="shared" si="17"/>
        <v>0.29097130242825614</v>
      </c>
      <c r="S134">
        <v>39.362814999999998</v>
      </c>
      <c r="T134">
        <v>-74.426524000000001</v>
      </c>
      <c r="U134">
        <f t="shared" ca="1" si="12"/>
        <v>808260</v>
      </c>
      <c r="V134">
        <f t="shared" ca="1" si="13"/>
        <v>709</v>
      </c>
      <c r="W134" s="8">
        <f t="shared" ca="1" si="14"/>
        <v>2.1000000000000001E-2</v>
      </c>
      <c r="X134">
        <f t="shared" ca="1" si="15"/>
        <v>8508</v>
      </c>
      <c r="Y134">
        <f t="shared" ca="1" si="16"/>
        <v>95</v>
      </c>
    </row>
    <row r="135" spans="1:25" x14ac:dyDescent="0.3">
      <c r="A135" t="s">
        <v>160</v>
      </c>
      <c r="B135" t="s">
        <v>294</v>
      </c>
      <c r="C135" t="s">
        <v>295</v>
      </c>
      <c r="D135">
        <v>58</v>
      </c>
      <c r="E135">
        <v>11.2</v>
      </c>
      <c r="F135">
        <v>11.5</v>
      </c>
      <c r="G135">
        <v>11.9</v>
      </c>
      <c r="H135">
        <v>11.2</v>
      </c>
      <c r="I135">
        <v>10</v>
      </c>
      <c r="J135">
        <v>9.5</v>
      </c>
      <c r="K135">
        <v>8.9</v>
      </c>
      <c r="L135">
        <v>8.6999999999999993</v>
      </c>
      <c r="M135">
        <v>9</v>
      </c>
      <c r="N135">
        <v>9.4</v>
      </c>
      <c r="O135">
        <v>10.199999999999999</v>
      </c>
      <c r="P135">
        <v>10.8</v>
      </c>
      <c r="Q135">
        <v>10.199999999999999</v>
      </c>
      <c r="R135" s="3">
        <f t="shared" si="17"/>
        <v>0.30284768211920526</v>
      </c>
      <c r="S135">
        <v>40.731969999999997</v>
      </c>
      <c r="T135">
        <v>-74.174183999999997</v>
      </c>
      <c r="U135">
        <f t="shared" ca="1" si="12"/>
        <v>1250467.2</v>
      </c>
      <c r="V135">
        <f t="shared" ca="1" si="13"/>
        <v>706</v>
      </c>
      <c r="W135" s="8">
        <f t="shared" ca="1" si="14"/>
        <v>1.9E-2</v>
      </c>
      <c r="X135">
        <f t="shared" ca="1" si="15"/>
        <v>8472</v>
      </c>
      <c r="Y135">
        <f t="shared" ca="1" si="16"/>
        <v>147.6</v>
      </c>
    </row>
    <row r="136" spans="1:25" x14ac:dyDescent="0.3">
      <c r="A136" t="s">
        <v>161</v>
      </c>
      <c r="B136" t="s">
        <v>296</v>
      </c>
      <c r="C136" t="s">
        <v>262</v>
      </c>
      <c r="D136">
        <v>63</v>
      </c>
      <c r="E136">
        <v>8</v>
      </c>
      <c r="F136">
        <v>8.8000000000000007</v>
      </c>
      <c r="G136">
        <v>9.9</v>
      </c>
      <c r="H136">
        <v>10.7</v>
      </c>
      <c r="I136">
        <v>10.5</v>
      </c>
      <c r="J136">
        <v>9.8000000000000007</v>
      </c>
      <c r="K136">
        <v>8.9</v>
      </c>
      <c r="L136">
        <v>8.1</v>
      </c>
      <c r="M136">
        <v>8.4</v>
      </c>
      <c r="N136">
        <v>8.1999999999999993</v>
      </c>
      <c r="O136">
        <v>7.9</v>
      </c>
      <c r="P136">
        <v>7.6</v>
      </c>
      <c r="Q136">
        <v>8.9</v>
      </c>
      <c r="R136" s="3">
        <f t="shared" si="17"/>
        <v>0.26424944812362033</v>
      </c>
      <c r="S136">
        <v>35.084180000000003</v>
      </c>
      <c r="T136">
        <v>-106.648639</v>
      </c>
      <c r="U136">
        <f t="shared" ca="1" si="12"/>
        <v>936579.60000000009</v>
      </c>
      <c r="V136">
        <f t="shared" ca="1" si="13"/>
        <v>737</v>
      </c>
      <c r="W136" s="8">
        <f t="shared" ca="1" si="14"/>
        <v>1.55E-2</v>
      </c>
      <c r="X136">
        <f t="shared" ca="1" si="15"/>
        <v>8844</v>
      </c>
      <c r="Y136">
        <f t="shared" ca="1" si="16"/>
        <v>105.9</v>
      </c>
    </row>
    <row r="137" spans="1:25" x14ac:dyDescent="0.3">
      <c r="A137" t="s">
        <v>162</v>
      </c>
      <c r="B137" t="s">
        <v>296</v>
      </c>
      <c r="C137" t="s">
        <v>262</v>
      </c>
      <c r="D137">
        <v>10</v>
      </c>
      <c r="E137">
        <v>11.9</v>
      </c>
      <c r="F137">
        <v>12.4</v>
      </c>
      <c r="G137">
        <v>13.1</v>
      </c>
      <c r="H137">
        <v>14.4</v>
      </c>
      <c r="I137">
        <v>13.2</v>
      </c>
      <c r="J137">
        <v>12.9</v>
      </c>
      <c r="K137">
        <v>11.2</v>
      </c>
      <c r="L137">
        <v>10.199999999999999</v>
      </c>
      <c r="M137">
        <v>11.3</v>
      </c>
      <c r="N137">
        <v>11.8</v>
      </c>
      <c r="O137">
        <v>11.8</v>
      </c>
      <c r="P137">
        <v>12.1</v>
      </c>
      <c r="Q137">
        <v>12.2</v>
      </c>
      <c r="R137" s="3">
        <f t="shared" si="17"/>
        <v>0.36222958057395144</v>
      </c>
      <c r="S137">
        <v>36.451951000000001</v>
      </c>
      <c r="T137">
        <v>-103.18366899999999</v>
      </c>
      <c r="U137">
        <f t="shared" ca="1" si="12"/>
        <v>1262390.4000000001</v>
      </c>
      <c r="V137">
        <f t="shared" ca="1" si="13"/>
        <v>684</v>
      </c>
      <c r="W137" s="8">
        <f t="shared" ca="1" si="14"/>
        <v>5.7999999999999996E-3</v>
      </c>
      <c r="X137">
        <f t="shared" ca="1" si="15"/>
        <v>8208</v>
      </c>
      <c r="Y137">
        <f t="shared" ca="1" si="16"/>
        <v>153.80000000000001</v>
      </c>
    </row>
    <row r="138" spans="1:25" x14ac:dyDescent="0.3">
      <c r="A138" t="s">
        <v>163</v>
      </c>
      <c r="B138" t="s">
        <v>296</v>
      </c>
      <c r="C138" t="s">
        <v>262</v>
      </c>
      <c r="D138">
        <v>29</v>
      </c>
      <c r="E138">
        <v>7.7</v>
      </c>
      <c r="F138">
        <v>8.6</v>
      </c>
      <c r="G138">
        <v>10.1</v>
      </c>
      <c r="H138">
        <v>10.199999999999999</v>
      </c>
      <c r="I138">
        <v>9.9</v>
      </c>
      <c r="J138">
        <v>9.6999999999999993</v>
      </c>
      <c r="K138">
        <v>8.6</v>
      </c>
      <c r="L138">
        <v>7.9</v>
      </c>
      <c r="M138">
        <v>8</v>
      </c>
      <c r="N138">
        <v>7.9</v>
      </c>
      <c r="O138">
        <v>7.7</v>
      </c>
      <c r="P138">
        <v>7.6</v>
      </c>
      <c r="Q138">
        <v>8.6999999999999993</v>
      </c>
      <c r="R138" s="3">
        <f t="shared" si="17"/>
        <v>0.25831125827814566</v>
      </c>
      <c r="S138">
        <v>33.394820000000003</v>
      </c>
      <c r="T138">
        <v>-104.52275</v>
      </c>
      <c r="U138">
        <f t="shared" ca="1" si="12"/>
        <v>650412</v>
      </c>
      <c r="V138">
        <f t="shared" ca="1" si="13"/>
        <v>623</v>
      </c>
      <c r="W138" s="8">
        <f t="shared" ca="1" si="14"/>
        <v>1.8100000000000002E-2</v>
      </c>
      <c r="X138">
        <f t="shared" ca="1" si="15"/>
        <v>7476</v>
      </c>
      <c r="Y138">
        <f t="shared" ca="1" si="16"/>
        <v>87</v>
      </c>
    </row>
    <row r="139" spans="1:25" x14ac:dyDescent="0.3">
      <c r="A139" t="s">
        <v>164</v>
      </c>
      <c r="B139" t="s">
        <v>297</v>
      </c>
      <c r="C139" t="s">
        <v>295</v>
      </c>
      <c r="D139">
        <v>64</v>
      </c>
      <c r="E139">
        <v>9.8000000000000007</v>
      </c>
      <c r="F139">
        <v>10.1</v>
      </c>
      <c r="G139">
        <v>10.6</v>
      </c>
      <c r="H139">
        <v>10.5</v>
      </c>
      <c r="I139">
        <v>9</v>
      </c>
      <c r="J139">
        <v>8.3000000000000007</v>
      </c>
      <c r="K139">
        <v>7.5</v>
      </c>
      <c r="L139">
        <v>7</v>
      </c>
      <c r="M139">
        <v>7.4</v>
      </c>
      <c r="N139">
        <v>8</v>
      </c>
      <c r="O139">
        <v>9.1</v>
      </c>
      <c r="P139">
        <v>9.3000000000000007</v>
      </c>
      <c r="Q139">
        <v>8.9</v>
      </c>
      <c r="R139" s="3">
        <f t="shared" si="17"/>
        <v>0.26424944812362033</v>
      </c>
      <c r="S139">
        <v>42.651445000000002</v>
      </c>
      <c r="T139">
        <v>-73.755253999999994</v>
      </c>
      <c r="U139">
        <f t="shared" ca="1" si="12"/>
        <v>715078.8</v>
      </c>
      <c r="V139">
        <f t="shared" ca="1" si="13"/>
        <v>657</v>
      </c>
      <c r="W139" s="8">
        <f t="shared" ca="1" si="14"/>
        <v>5.1999999999999998E-3</v>
      </c>
      <c r="X139">
        <f t="shared" ca="1" si="15"/>
        <v>7884</v>
      </c>
      <c r="Y139">
        <f t="shared" ca="1" si="16"/>
        <v>90.7</v>
      </c>
    </row>
    <row r="140" spans="1:25" x14ac:dyDescent="0.3">
      <c r="A140" t="s">
        <v>165</v>
      </c>
      <c r="B140" t="s">
        <v>297</v>
      </c>
      <c r="C140" t="s">
        <v>295</v>
      </c>
      <c r="D140">
        <v>51</v>
      </c>
      <c r="E140">
        <v>11.3</v>
      </c>
      <c r="F140">
        <v>11.3</v>
      </c>
      <c r="G140">
        <v>11.5</v>
      </c>
      <c r="H140">
        <v>11.2</v>
      </c>
      <c r="I140">
        <v>9.9</v>
      </c>
      <c r="J140">
        <v>9.3000000000000007</v>
      </c>
      <c r="K140">
        <v>8.4</v>
      </c>
      <c r="L140">
        <v>8.1999999999999993</v>
      </c>
      <c r="M140">
        <v>8.8000000000000007</v>
      </c>
      <c r="N140">
        <v>9.6999999999999993</v>
      </c>
      <c r="O140">
        <v>10.8</v>
      </c>
      <c r="P140">
        <v>11</v>
      </c>
      <c r="Q140">
        <v>10.1</v>
      </c>
      <c r="R140" s="3">
        <f t="shared" si="17"/>
        <v>0.29987858719646798</v>
      </c>
      <c r="S140">
        <v>42.098686999999998</v>
      </c>
      <c r="T140">
        <v>-75.911270999999999</v>
      </c>
      <c r="U140">
        <f t="shared" ca="1" si="12"/>
        <v>779688</v>
      </c>
      <c r="V140">
        <f t="shared" ca="1" si="13"/>
        <v>735</v>
      </c>
      <c r="W140" s="8">
        <f t="shared" ca="1" si="14"/>
        <v>1.72E-2</v>
      </c>
      <c r="X140">
        <f t="shared" ca="1" si="15"/>
        <v>8820</v>
      </c>
      <c r="Y140">
        <f t="shared" ca="1" si="16"/>
        <v>88.4</v>
      </c>
    </row>
    <row r="141" spans="1:25" x14ac:dyDescent="0.3">
      <c r="A141" t="s">
        <v>166</v>
      </c>
      <c r="B141" t="s">
        <v>297</v>
      </c>
      <c r="C141" t="s">
        <v>295</v>
      </c>
      <c r="D141">
        <v>63</v>
      </c>
      <c r="E141">
        <v>14</v>
      </c>
      <c r="F141">
        <v>13.3</v>
      </c>
      <c r="G141">
        <v>13.1</v>
      </c>
      <c r="H141">
        <v>12.3</v>
      </c>
      <c r="I141">
        <v>11.4</v>
      </c>
      <c r="J141">
        <v>10.8</v>
      </c>
      <c r="K141">
        <v>10.199999999999999</v>
      </c>
      <c r="L141">
        <v>9.6999999999999993</v>
      </c>
      <c r="M141">
        <v>10.199999999999999</v>
      </c>
      <c r="N141">
        <v>11.1</v>
      </c>
      <c r="O141">
        <v>12.6</v>
      </c>
      <c r="P141">
        <v>13.1</v>
      </c>
      <c r="Q141">
        <v>11.8</v>
      </c>
      <c r="R141" s="3">
        <f t="shared" si="17"/>
        <v>0.3503532008830022</v>
      </c>
      <c r="S141">
        <v>42.885440000000003</v>
      </c>
      <c r="T141">
        <v>-78.878463999999994</v>
      </c>
      <c r="U141">
        <f t="shared" ca="1" si="12"/>
        <v>940011.6</v>
      </c>
      <c r="V141">
        <f t="shared" ca="1" si="13"/>
        <v>649</v>
      </c>
      <c r="W141" s="8">
        <f t="shared" ca="1" si="14"/>
        <v>5.5999999999999999E-3</v>
      </c>
      <c r="X141">
        <f t="shared" ca="1" si="15"/>
        <v>7788</v>
      </c>
      <c r="Y141">
        <f t="shared" ca="1" si="16"/>
        <v>120.7</v>
      </c>
    </row>
    <row r="142" spans="1:25" x14ac:dyDescent="0.3">
      <c r="A142" t="s">
        <v>167</v>
      </c>
      <c r="B142" t="s">
        <v>297</v>
      </c>
      <c r="C142" t="s">
        <v>295</v>
      </c>
      <c r="D142">
        <v>19</v>
      </c>
      <c r="E142">
        <v>9.6</v>
      </c>
      <c r="F142">
        <v>10.1</v>
      </c>
      <c r="G142">
        <v>10.5</v>
      </c>
      <c r="H142">
        <v>9.8000000000000007</v>
      </c>
      <c r="I142">
        <v>9</v>
      </c>
      <c r="J142">
        <v>8.4</v>
      </c>
      <c r="K142">
        <v>7.7</v>
      </c>
      <c r="L142">
        <v>7.4</v>
      </c>
      <c r="M142">
        <v>7.7</v>
      </c>
      <c r="N142">
        <v>8.3000000000000007</v>
      </c>
      <c r="O142">
        <v>9.4</v>
      </c>
      <c r="P142">
        <v>9.3000000000000007</v>
      </c>
      <c r="Q142">
        <v>8.9</v>
      </c>
      <c r="R142" s="3">
        <f t="shared" si="17"/>
        <v>0.26424944812362033</v>
      </c>
      <c r="S142">
        <v>40.729644999999998</v>
      </c>
      <c r="T142">
        <v>-73.211319000000003</v>
      </c>
      <c r="U142">
        <f t="shared" ca="1" si="12"/>
        <v>1239787.2000000002</v>
      </c>
      <c r="V142">
        <f t="shared" ca="1" si="13"/>
        <v>692</v>
      </c>
      <c r="W142" s="8">
        <f t="shared" ca="1" si="14"/>
        <v>8.6999999999999994E-3</v>
      </c>
      <c r="X142">
        <f t="shared" ca="1" si="15"/>
        <v>8304</v>
      </c>
      <c r="Y142">
        <f t="shared" ca="1" si="16"/>
        <v>149.30000000000001</v>
      </c>
    </row>
    <row r="143" spans="1:25" x14ac:dyDescent="0.3">
      <c r="A143" t="s">
        <v>168</v>
      </c>
      <c r="B143" t="s">
        <v>297</v>
      </c>
      <c r="C143" t="s">
        <v>295</v>
      </c>
      <c r="D143">
        <v>65</v>
      </c>
      <c r="E143">
        <v>10.6</v>
      </c>
      <c r="F143">
        <v>10.7</v>
      </c>
      <c r="G143">
        <v>11</v>
      </c>
      <c r="H143">
        <v>10.199999999999999</v>
      </c>
      <c r="I143">
        <v>8.8000000000000007</v>
      </c>
      <c r="J143">
        <v>8.1</v>
      </c>
      <c r="K143">
        <v>7.6</v>
      </c>
      <c r="L143">
        <v>7.5</v>
      </c>
      <c r="M143">
        <v>8.1</v>
      </c>
      <c r="N143">
        <v>8.8000000000000007</v>
      </c>
      <c r="O143">
        <v>9.8000000000000007</v>
      </c>
      <c r="P143">
        <v>10.1</v>
      </c>
      <c r="Q143">
        <v>9.3000000000000007</v>
      </c>
      <c r="R143" s="3">
        <f t="shared" si="17"/>
        <v>0.27612582781456957</v>
      </c>
      <c r="S143">
        <v>40.714550000000003</v>
      </c>
      <c r="T143">
        <v>-74.007118000000006</v>
      </c>
      <c r="U143">
        <f t="shared" ca="1" si="12"/>
        <v>941779.20000000007</v>
      </c>
      <c r="V143">
        <f t="shared" ca="1" si="13"/>
        <v>724</v>
      </c>
      <c r="W143" s="8">
        <f t="shared" ca="1" si="14"/>
        <v>9.9000000000000008E-3</v>
      </c>
      <c r="X143">
        <f t="shared" ca="1" si="15"/>
        <v>8688</v>
      </c>
      <c r="Y143">
        <f t="shared" ca="1" si="16"/>
        <v>108.4</v>
      </c>
    </row>
    <row r="144" spans="1:25" x14ac:dyDescent="0.3">
      <c r="A144" t="s">
        <v>169</v>
      </c>
      <c r="B144" t="s">
        <v>297</v>
      </c>
      <c r="C144" t="s">
        <v>295</v>
      </c>
      <c r="D144">
        <v>44</v>
      </c>
      <c r="E144">
        <v>13</v>
      </c>
      <c r="F144">
        <v>13.3</v>
      </c>
      <c r="G144">
        <v>13.5</v>
      </c>
      <c r="H144">
        <v>12.7</v>
      </c>
      <c r="I144">
        <v>11.6</v>
      </c>
      <c r="J144">
        <v>10.7</v>
      </c>
      <c r="K144">
        <v>10.199999999999999</v>
      </c>
      <c r="L144">
        <v>10</v>
      </c>
      <c r="M144">
        <v>10.4</v>
      </c>
      <c r="N144">
        <v>11</v>
      </c>
      <c r="O144">
        <v>12.2</v>
      </c>
      <c r="P144">
        <v>12.7</v>
      </c>
      <c r="Q144">
        <v>11.8</v>
      </c>
      <c r="R144" s="3">
        <f t="shared" si="17"/>
        <v>0.3503532008830022</v>
      </c>
      <c r="S144">
        <v>40.714550000000003</v>
      </c>
      <c r="T144">
        <v>-74.007124000000005</v>
      </c>
      <c r="U144">
        <f t="shared" ca="1" si="12"/>
        <v>1022418</v>
      </c>
      <c r="V144">
        <f t="shared" ca="1" si="13"/>
        <v>719</v>
      </c>
      <c r="W144" s="8">
        <f t="shared" ca="1" si="14"/>
        <v>2.0899999999999998E-2</v>
      </c>
      <c r="X144">
        <f t="shared" ca="1" si="15"/>
        <v>8628</v>
      </c>
      <c r="Y144">
        <f t="shared" ca="1" si="16"/>
        <v>118.5</v>
      </c>
    </row>
    <row r="145" spans="1:25" x14ac:dyDescent="0.3">
      <c r="A145" t="s">
        <v>170</v>
      </c>
      <c r="B145" t="s">
        <v>297</v>
      </c>
      <c r="C145" t="s">
        <v>295</v>
      </c>
      <c r="D145">
        <v>54</v>
      </c>
      <c r="E145">
        <v>13.7</v>
      </c>
      <c r="F145">
        <v>13.8</v>
      </c>
      <c r="G145">
        <v>13.9</v>
      </c>
      <c r="H145">
        <v>12.9</v>
      </c>
      <c r="I145">
        <v>11.6</v>
      </c>
      <c r="J145">
        <v>11</v>
      </c>
      <c r="K145">
        <v>10.4</v>
      </c>
      <c r="L145">
        <v>10.3</v>
      </c>
      <c r="M145">
        <v>11</v>
      </c>
      <c r="N145">
        <v>11.6</v>
      </c>
      <c r="O145">
        <v>12.8</v>
      </c>
      <c r="P145">
        <v>13.4</v>
      </c>
      <c r="Q145">
        <v>12.2</v>
      </c>
      <c r="R145" s="3">
        <f t="shared" si="17"/>
        <v>0.36222958057395144</v>
      </c>
      <c r="S145">
        <v>40.714550000000003</v>
      </c>
      <c r="T145">
        <v>-74.007118000000006</v>
      </c>
      <c r="U145">
        <f t="shared" ca="1" si="12"/>
        <v>1079568</v>
      </c>
      <c r="V145">
        <f t="shared" ca="1" si="13"/>
        <v>680</v>
      </c>
      <c r="W145" s="8">
        <f t="shared" ca="1" si="14"/>
        <v>1.5299999999999999E-2</v>
      </c>
      <c r="X145">
        <f t="shared" ca="1" si="15"/>
        <v>8160</v>
      </c>
      <c r="Y145">
        <f t="shared" ca="1" si="16"/>
        <v>132.30000000000001</v>
      </c>
    </row>
    <row r="146" spans="1:25" x14ac:dyDescent="0.3">
      <c r="A146" t="s">
        <v>131</v>
      </c>
      <c r="B146" t="s">
        <v>297</v>
      </c>
      <c r="C146" t="s">
        <v>295</v>
      </c>
      <c r="D146">
        <v>62</v>
      </c>
      <c r="E146">
        <v>11.6</v>
      </c>
      <c r="F146">
        <v>11.1</v>
      </c>
      <c r="G146">
        <v>11</v>
      </c>
      <c r="H146">
        <v>10.7</v>
      </c>
      <c r="I146">
        <v>9.3000000000000007</v>
      </c>
      <c r="J146">
        <v>8.6</v>
      </c>
      <c r="K146">
        <v>8</v>
      </c>
      <c r="L146">
        <v>7.7</v>
      </c>
      <c r="M146">
        <v>8.1</v>
      </c>
      <c r="N146">
        <v>8.8000000000000007</v>
      </c>
      <c r="O146">
        <v>10.199999999999999</v>
      </c>
      <c r="P146">
        <v>10.7</v>
      </c>
      <c r="Q146">
        <v>9.6</v>
      </c>
      <c r="R146" s="3">
        <f t="shared" si="17"/>
        <v>0.28503311258278147</v>
      </c>
      <c r="S146">
        <v>43.155500000000004</v>
      </c>
      <c r="T146">
        <v>-77.616033000000002</v>
      </c>
      <c r="U146">
        <f t="shared" ca="1" si="12"/>
        <v>1027584.0000000001</v>
      </c>
      <c r="V146">
        <f t="shared" ca="1" si="13"/>
        <v>640</v>
      </c>
      <c r="W146" s="8">
        <f t="shared" ca="1" si="14"/>
        <v>2.2499999999999999E-2</v>
      </c>
      <c r="X146">
        <f t="shared" ca="1" si="15"/>
        <v>7680</v>
      </c>
      <c r="Y146">
        <f t="shared" ca="1" si="16"/>
        <v>133.80000000000001</v>
      </c>
    </row>
    <row r="147" spans="1:25" x14ac:dyDescent="0.3">
      <c r="A147" t="s">
        <v>171</v>
      </c>
      <c r="B147" t="s">
        <v>297</v>
      </c>
      <c r="C147" t="s">
        <v>295</v>
      </c>
      <c r="D147">
        <v>53</v>
      </c>
      <c r="E147">
        <v>10.6</v>
      </c>
      <c r="F147">
        <v>10.6</v>
      </c>
      <c r="G147">
        <v>10.7</v>
      </c>
      <c r="H147">
        <v>10.4</v>
      </c>
      <c r="I147">
        <v>9</v>
      </c>
      <c r="J147">
        <v>8.3000000000000007</v>
      </c>
      <c r="K147">
        <v>7.9</v>
      </c>
      <c r="L147">
        <v>7.5</v>
      </c>
      <c r="M147">
        <v>8.1999999999999993</v>
      </c>
      <c r="N147">
        <v>8.6999999999999993</v>
      </c>
      <c r="O147">
        <v>10.199999999999999</v>
      </c>
      <c r="P147">
        <v>10.3</v>
      </c>
      <c r="Q147">
        <v>9.4</v>
      </c>
      <c r="R147" s="3">
        <f t="shared" si="17"/>
        <v>0.27909492273730685</v>
      </c>
      <c r="S147">
        <v>43.049990000000001</v>
      </c>
      <c r="T147">
        <v>-76.147389000000004</v>
      </c>
      <c r="U147">
        <f t="shared" ca="1" si="12"/>
        <v>1314328.7999999998</v>
      </c>
      <c r="V147">
        <f t="shared" ca="1" si="13"/>
        <v>722</v>
      </c>
      <c r="W147" s="8">
        <f t="shared" ca="1" si="14"/>
        <v>2.1499999999999998E-2</v>
      </c>
      <c r="X147">
        <f t="shared" ca="1" si="15"/>
        <v>8664</v>
      </c>
      <c r="Y147">
        <f t="shared" ca="1" si="16"/>
        <v>151.69999999999999</v>
      </c>
    </row>
    <row r="148" spans="1:25" x14ac:dyDescent="0.3">
      <c r="A148" t="s">
        <v>172</v>
      </c>
      <c r="B148" t="s">
        <v>298</v>
      </c>
      <c r="C148" t="s">
        <v>270</v>
      </c>
      <c r="D148">
        <v>38</v>
      </c>
      <c r="E148">
        <v>9.1999999999999993</v>
      </c>
      <c r="F148">
        <v>9.1999999999999993</v>
      </c>
      <c r="G148">
        <v>9.1999999999999993</v>
      </c>
      <c r="H148">
        <v>8.6</v>
      </c>
      <c r="I148">
        <v>6.9</v>
      </c>
      <c r="J148">
        <v>5.8</v>
      </c>
      <c r="K148">
        <v>5.8</v>
      </c>
      <c r="L148">
        <v>5.2</v>
      </c>
      <c r="M148">
        <v>5.5</v>
      </c>
      <c r="N148">
        <v>6.6</v>
      </c>
      <c r="O148">
        <v>7.9</v>
      </c>
      <c r="P148">
        <v>8.6</v>
      </c>
      <c r="Q148">
        <v>7.4</v>
      </c>
      <c r="R148" s="3">
        <f t="shared" si="17"/>
        <v>0.2197130242825607</v>
      </c>
      <c r="S148">
        <v>35.598460000000003</v>
      </c>
      <c r="T148">
        <v>-82.553144000000003</v>
      </c>
      <c r="U148">
        <f t="shared" ca="1" si="12"/>
        <v>971078.39999999991</v>
      </c>
      <c r="V148">
        <f t="shared" ca="1" si="13"/>
        <v>733</v>
      </c>
      <c r="W148" s="8">
        <f t="shared" ca="1" si="14"/>
        <v>8.8000000000000005E-3</v>
      </c>
      <c r="X148">
        <f t="shared" ca="1" si="15"/>
        <v>8796</v>
      </c>
      <c r="Y148">
        <f t="shared" ca="1" si="16"/>
        <v>110.39999999999999</v>
      </c>
    </row>
    <row r="149" spans="1:25" x14ac:dyDescent="0.3">
      <c r="A149" t="s">
        <v>173</v>
      </c>
      <c r="B149" t="s">
        <v>298</v>
      </c>
      <c r="C149" t="s">
        <v>270</v>
      </c>
      <c r="D149">
        <v>44</v>
      </c>
      <c r="E149">
        <v>11.8</v>
      </c>
      <c r="F149">
        <v>11.7</v>
      </c>
      <c r="G149">
        <v>11.9</v>
      </c>
      <c r="H149">
        <v>11.7</v>
      </c>
      <c r="I149">
        <v>10.6</v>
      </c>
      <c r="J149">
        <v>10.6</v>
      </c>
      <c r="K149">
        <v>10</v>
      </c>
      <c r="L149">
        <v>9.5</v>
      </c>
      <c r="M149">
        <v>10.3</v>
      </c>
      <c r="N149">
        <v>10.6</v>
      </c>
      <c r="O149">
        <v>10.6</v>
      </c>
      <c r="P149">
        <v>11.2</v>
      </c>
      <c r="Q149">
        <v>10.9</v>
      </c>
      <c r="R149" s="3">
        <f t="shared" si="17"/>
        <v>0.32363134657836645</v>
      </c>
      <c r="S149">
        <v>35.547741000000002</v>
      </c>
      <c r="T149">
        <v>-75.464920000000006</v>
      </c>
      <c r="U149">
        <f t="shared" ca="1" si="12"/>
        <v>1268520</v>
      </c>
      <c r="V149">
        <f t="shared" ca="1" si="13"/>
        <v>682</v>
      </c>
      <c r="W149" s="8">
        <f t="shared" ca="1" si="14"/>
        <v>1.0999999999999999E-2</v>
      </c>
      <c r="X149">
        <f t="shared" ca="1" si="15"/>
        <v>8184</v>
      </c>
      <c r="Y149">
        <f t="shared" ca="1" si="16"/>
        <v>155</v>
      </c>
    </row>
    <row r="150" spans="1:25" x14ac:dyDescent="0.3">
      <c r="A150" t="s">
        <v>174</v>
      </c>
      <c r="B150" t="s">
        <v>298</v>
      </c>
      <c r="C150" t="s">
        <v>270</v>
      </c>
      <c r="D150">
        <v>53</v>
      </c>
      <c r="E150">
        <v>7.8</v>
      </c>
      <c r="F150">
        <v>8.1999999999999993</v>
      </c>
      <c r="G150">
        <v>8.8000000000000007</v>
      </c>
      <c r="H150">
        <v>8.6</v>
      </c>
      <c r="I150">
        <v>7.5</v>
      </c>
      <c r="J150">
        <v>6.9</v>
      </c>
      <c r="K150">
        <v>6.6</v>
      </c>
      <c r="L150">
        <v>6.4</v>
      </c>
      <c r="M150">
        <v>6.6</v>
      </c>
      <c r="N150">
        <v>6.7</v>
      </c>
      <c r="O150">
        <v>6.9</v>
      </c>
      <c r="P150">
        <v>7.3</v>
      </c>
      <c r="Q150">
        <v>7.4</v>
      </c>
      <c r="R150" s="3">
        <f t="shared" si="17"/>
        <v>0.2197130242825607</v>
      </c>
      <c r="S150">
        <v>35.222499999999997</v>
      </c>
      <c r="T150">
        <v>-80.837539000000007</v>
      </c>
      <c r="U150">
        <f t="shared" ca="1" si="12"/>
        <v>1036003.2000000001</v>
      </c>
      <c r="V150">
        <f t="shared" ca="1" si="13"/>
        <v>622</v>
      </c>
      <c r="W150" s="8">
        <f t="shared" ca="1" si="14"/>
        <v>2.2599999999999999E-2</v>
      </c>
      <c r="X150">
        <f t="shared" ca="1" si="15"/>
        <v>7464</v>
      </c>
      <c r="Y150">
        <f t="shared" ca="1" si="16"/>
        <v>138.80000000000001</v>
      </c>
    </row>
    <row r="151" spans="1:25" x14ac:dyDescent="0.3">
      <c r="A151" t="s">
        <v>299</v>
      </c>
      <c r="B151" t="s">
        <v>298</v>
      </c>
      <c r="C151" t="s">
        <v>270</v>
      </c>
      <c r="D151">
        <v>74</v>
      </c>
      <c r="E151">
        <v>8.1</v>
      </c>
      <c r="F151">
        <v>8.5</v>
      </c>
      <c r="G151">
        <v>9.1</v>
      </c>
      <c r="H151">
        <v>8.8000000000000007</v>
      </c>
      <c r="I151">
        <v>7.6</v>
      </c>
      <c r="J151">
        <v>6.9</v>
      </c>
      <c r="K151">
        <v>6.5</v>
      </c>
      <c r="L151">
        <v>6.2</v>
      </c>
      <c r="M151">
        <v>6.6</v>
      </c>
      <c r="N151">
        <v>7</v>
      </c>
      <c r="O151">
        <v>7.5</v>
      </c>
      <c r="P151">
        <v>7.6</v>
      </c>
      <c r="Q151">
        <v>7.5</v>
      </c>
      <c r="R151" s="3">
        <f t="shared" si="17"/>
        <v>0.22268211920529801</v>
      </c>
      <c r="S151">
        <v>36.068989000000002</v>
      </c>
      <c r="T151">
        <v>-79.794701000000003</v>
      </c>
      <c r="U151">
        <f t="shared" ca="1" si="12"/>
        <v>969501.6</v>
      </c>
      <c r="V151">
        <f t="shared" ca="1" si="13"/>
        <v>722</v>
      </c>
      <c r="W151" s="8">
        <f t="shared" ca="1" si="14"/>
        <v>7.7999999999999996E-3</v>
      </c>
      <c r="X151">
        <f t="shared" ca="1" si="15"/>
        <v>8664</v>
      </c>
      <c r="Y151">
        <f t="shared" ca="1" si="16"/>
        <v>111.89999999999999</v>
      </c>
    </row>
    <row r="152" spans="1:25" x14ac:dyDescent="0.3">
      <c r="A152" t="s">
        <v>175</v>
      </c>
      <c r="B152" t="s">
        <v>298</v>
      </c>
      <c r="C152" t="s">
        <v>270</v>
      </c>
      <c r="D152">
        <v>53</v>
      </c>
      <c r="E152">
        <v>8.1999999999999993</v>
      </c>
      <c r="F152">
        <v>8.6</v>
      </c>
      <c r="G152">
        <v>9.3000000000000007</v>
      </c>
      <c r="H152">
        <v>8.8000000000000007</v>
      </c>
      <c r="I152">
        <v>7.7</v>
      </c>
      <c r="J152">
        <v>7</v>
      </c>
      <c r="K152">
        <v>6.7</v>
      </c>
      <c r="L152">
        <v>6.3</v>
      </c>
      <c r="M152">
        <v>6.7</v>
      </c>
      <c r="N152">
        <v>6.6</v>
      </c>
      <c r="O152">
        <v>7.1</v>
      </c>
      <c r="P152">
        <v>7.7</v>
      </c>
      <c r="Q152">
        <v>7.6</v>
      </c>
      <c r="R152" s="3">
        <f t="shared" si="17"/>
        <v>0.22565121412803529</v>
      </c>
      <c r="S152">
        <v>35.785510000000002</v>
      </c>
      <c r="T152">
        <v>-78.642668999999998</v>
      </c>
      <c r="U152">
        <f t="shared" ca="1" si="12"/>
        <v>1098818.4000000001</v>
      </c>
      <c r="V152">
        <f t="shared" ca="1" si="13"/>
        <v>706</v>
      </c>
      <c r="W152" s="8">
        <f t="shared" ca="1" si="14"/>
        <v>2.0500000000000001E-2</v>
      </c>
      <c r="X152">
        <f t="shared" ca="1" si="15"/>
        <v>8472</v>
      </c>
      <c r="Y152">
        <f t="shared" ca="1" si="16"/>
        <v>129.70000000000002</v>
      </c>
    </row>
    <row r="153" spans="1:25" x14ac:dyDescent="0.3">
      <c r="A153" t="s">
        <v>63</v>
      </c>
      <c r="B153" t="s">
        <v>298</v>
      </c>
      <c r="C153" t="s">
        <v>270</v>
      </c>
      <c r="D153">
        <v>51</v>
      </c>
      <c r="E153">
        <v>9</v>
      </c>
      <c r="F153">
        <v>9.6</v>
      </c>
      <c r="G153">
        <v>10</v>
      </c>
      <c r="H153">
        <v>10.1</v>
      </c>
      <c r="I153">
        <v>9.1</v>
      </c>
      <c r="J153">
        <v>8.4</v>
      </c>
      <c r="K153">
        <v>7.9</v>
      </c>
      <c r="L153">
        <v>7.3</v>
      </c>
      <c r="M153">
        <v>7.8</v>
      </c>
      <c r="N153">
        <v>7.9</v>
      </c>
      <c r="O153">
        <v>8.1</v>
      </c>
      <c r="P153">
        <v>8.4</v>
      </c>
      <c r="Q153">
        <v>8.6</v>
      </c>
      <c r="R153" s="3">
        <f t="shared" si="17"/>
        <v>0.25534216335540838</v>
      </c>
      <c r="S153">
        <v>34.234969999999997</v>
      </c>
      <c r="T153">
        <v>-77.945992000000004</v>
      </c>
      <c r="U153">
        <f t="shared" ca="1" si="12"/>
        <v>717552.00000000012</v>
      </c>
      <c r="V153">
        <f t="shared" ca="1" si="13"/>
        <v>660</v>
      </c>
      <c r="W153" s="8">
        <f t="shared" ca="1" si="14"/>
        <v>7.9000000000000008E-3</v>
      </c>
      <c r="X153">
        <f t="shared" ca="1" si="15"/>
        <v>7920</v>
      </c>
      <c r="Y153">
        <f t="shared" ca="1" si="16"/>
        <v>90.600000000000009</v>
      </c>
    </row>
    <row r="154" spans="1:25" x14ac:dyDescent="0.3">
      <c r="A154" t="s">
        <v>176</v>
      </c>
      <c r="B154" t="s">
        <v>300</v>
      </c>
      <c r="C154" t="s">
        <v>269</v>
      </c>
      <c r="D154">
        <v>63</v>
      </c>
      <c r="E154">
        <v>10</v>
      </c>
      <c r="F154">
        <v>9.9</v>
      </c>
      <c r="G154">
        <v>10.9</v>
      </c>
      <c r="H154">
        <v>11.9</v>
      </c>
      <c r="I154">
        <v>11.6</v>
      </c>
      <c r="J154">
        <v>10.4</v>
      </c>
      <c r="K154">
        <v>9.1999999999999993</v>
      </c>
      <c r="L154">
        <v>9.4</v>
      </c>
      <c r="M154">
        <v>9.9</v>
      </c>
      <c r="N154">
        <v>10</v>
      </c>
      <c r="O154">
        <v>9.9</v>
      </c>
      <c r="P154">
        <v>9.5</v>
      </c>
      <c r="Q154">
        <v>10.199999999999999</v>
      </c>
      <c r="R154" s="3">
        <f t="shared" si="17"/>
        <v>0.30284768211920526</v>
      </c>
      <c r="S154">
        <v>46.805371000000001</v>
      </c>
      <c r="T154">
        <v>-100.779319</v>
      </c>
      <c r="U154">
        <f t="shared" ca="1" si="12"/>
        <v>1187300.4000000001</v>
      </c>
      <c r="V154">
        <f t="shared" ca="1" si="13"/>
        <v>629</v>
      </c>
      <c r="W154" s="8">
        <f t="shared" ca="1" si="14"/>
        <v>2.46E-2</v>
      </c>
      <c r="X154">
        <f t="shared" ca="1" si="15"/>
        <v>7548</v>
      </c>
      <c r="Y154">
        <f t="shared" ca="1" si="16"/>
        <v>157.30000000000001</v>
      </c>
    </row>
    <row r="155" spans="1:25" x14ac:dyDescent="0.3">
      <c r="A155" t="s">
        <v>177</v>
      </c>
      <c r="B155" t="s">
        <v>300</v>
      </c>
      <c r="C155" t="s">
        <v>269</v>
      </c>
      <c r="D155">
        <v>60</v>
      </c>
      <c r="E155">
        <v>12.6</v>
      </c>
      <c r="F155">
        <v>12.4</v>
      </c>
      <c r="G155">
        <v>13.1</v>
      </c>
      <c r="H155">
        <v>13.6</v>
      </c>
      <c r="I155">
        <v>12.9</v>
      </c>
      <c r="J155">
        <v>11.6</v>
      </c>
      <c r="K155">
        <v>10.5</v>
      </c>
      <c r="L155">
        <v>11</v>
      </c>
      <c r="M155">
        <v>11.8</v>
      </c>
      <c r="N155">
        <v>12.5</v>
      </c>
      <c r="O155">
        <v>12.8</v>
      </c>
      <c r="P155">
        <v>12.2</v>
      </c>
      <c r="Q155">
        <v>12.2</v>
      </c>
      <c r="R155" s="3">
        <f t="shared" si="17"/>
        <v>0.36222958057395144</v>
      </c>
      <c r="S155">
        <v>46.875909999999998</v>
      </c>
      <c r="T155">
        <v>-96.781763999999995</v>
      </c>
      <c r="U155">
        <f t="shared" ca="1" si="12"/>
        <v>1336477.2</v>
      </c>
      <c r="V155">
        <f t="shared" ca="1" si="13"/>
        <v>719</v>
      </c>
      <c r="W155" s="8">
        <f t="shared" ca="1" si="14"/>
        <v>2.4899999999999999E-2</v>
      </c>
      <c r="X155">
        <f t="shared" ca="1" si="15"/>
        <v>8628</v>
      </c>
      <c r="Y155">
        <f t="shared" ca="1" si="16"/>
        <v>154.9</v>
      </c>
    </row>
    <row r="156" spans="1:25" x14ac:dyDescent="0.3">
      <c r="A156" t="s">
        <v>178</v>
      </c>
      <c r="B156" t="s">
        <v>300</v>
      </c>
      <c r="C156" t="s">
        <v>269</v>
      </c>
      <c r="D156">
        <v>5</v>
      </c>
      <c r="E156">
        <v>10.8</v>
      </c>
      <c r="F156">
        <v>11.5</v>
      </c>
      <c r="G156">
        <v>11</v>
      </c>
      <c r="H156">
        <v>11</v>
      </c>
      <c r="I156">
        <v>11.3</v>
      </c>
      <c r="J156">
        <v>10</v>
      </c>
      <c r="K156">
        <v>8.3000000000000007</v>
      </c>
      <c r="L156">
        <v>8.9</v>
      </c>
      <c r="M156">
        <v>9.1999999999999993</v>
      </c>
      <c r="N156">
        <v>10.3</v>
      </c>
      <c r="O156">
        <v>10.3</v>
      </c>
      <c r="P156">
        <v>10.7</v>
      </c>
      <c r="Q156">
        <v>10.3</v>
      </c>
      <c r="R156" s="3">
        <f t="shared" si="17"/>
        <v>0.3058167770419426</v>
      </c>
      <c r="S156">
        <v>47.924084999999998</v>
      </c>
      <c r="T156">
        <v>-97.032033999999996</v>
      </c>
      <c r="U156">
        <f t="shared" ca="1" si="12"/>
        <v>960120</v>
      </c>
      <c r="V156">
        <f t="shared" ca="1" si="13"/>
        <v>700</v>
      </c>
      <c r="W156" s="8">
        <f t="shared" ca="1" si="14"/>
        <v>5.8999999999999999E-3</v>
      </c>
      <c r="X156">
        <f t="shared" ca="1" si="15"/>
        <v>8400</v>
      </c>
      <c r="Y156">
        <f t="shared" ca="1" si="16"/>
        <v>114.3</v>
      </c>
    </row>
    <row r="157" spans="1:25" x14ac:dyDescent="0.3">
      <c r="A157" t="s">
        <v>179</v>
      </c>
      <c r="B157" t="s">
        <v>300</v>
      </c>
      <c r="C157" t="s">
        <v>269</v>
      </c>
      <c r="D157">
        <v>38</v>
      </c>
      <c r="E157">
        <v>9.5</v>
      </c>
      <c r="F157">
        <v>9.6999999999999993</v>
      </c>
      <c r="G157">
        <v>10.1</v>
      </c>
      <c r="H157">
        <v>11</v>
      </c>
      <c r="I157">
        <v>11.1</v>
      </c>
      <c r="J157">
        <v>10.3</v>
      </c>
      <c r="K157">
        <v>9.3000000000000007</v>
      </c>
      <c r="L157">
        <v>9.4</v>
      </c>
      <c r="M157">
        <v>9.6999999999999993</v>
      </c>
      <c r="N157">
        <v>9.9</v>
      </c>
      <c r="O157">
        <v>9</v>
      </c>
      <c r="P157">
        <v>9.4</v>
      </c>
      <c r="Q157">
        <v>9.9</v>
      </c>
      <c r="R157" s="3">
        <f t="shared" si="17"/>
        <v>0.29394039735099342</v>
      </c>
      <c r="S157">
        <v>48.147030000000001</v>
      </c>
      <c r="T157">
        <v>-103.621889</v>
      </c>
      <c r="U157">
        <f t="shared" ca="1" si="12"/>
        <v>669099.6</v>
      </c>
      <c r="V157">
        <f t="shared" ca="1" si="13"/>
        <v>663</v>
      </c>
      <c r="W157" s="8">
        <f t="shared" ca="1" si="14"/>
        <v>1.09E-2</v>
      </c>
      <c r="X157">
        <f t="shared" ca="1" si="15"/>
        <v>7956</v>
      </c>
      <c r="Y157">
        <f t="shared" ca="1" si="16"/>
        <v>84.1</v>
      </c>
    </row>
    <row r="158" spans="1:25" x14ac:dyDescent="0.3">
      <c r="A158" t="s">
        <v>180</v>
      </c>
      <c r="B158" t="s">
        <v>301</v>
      </c>
      <c r="C158" t="s">
        <v>266</v>
      </c>
      <c r="D158">
        <v>54</v>
      </c>
      <c r="E158">
        <v>11.6</v>
      </c>
      <c r="F158">
        <v>11.1</v>
      </c>
      <c r="G158">
        <v>11.4</v>
      </c>
      <c r="H158">
        <v>10.8</v>
      </c>
      <c r="I158">
        <v>9.1</v>
      </c>
      <c r="J158">
        <v>8.4</v>
      </c>
      <c r="K158">
        <v>7.6</v>
      </c>
      <c r="L158">
        <v>7.3</v>
      </c>
      <c r="M158">
        <v>8</v>
      </c>
      <c r="N158">
        <v>9.1</v>
      </c>
      <c r="O158">
        <v>10.8</v>
      </c>
      <c r="P158">
        <v>11.3</v>
      </c>
      <c r="Q158">
        <v>9.6999999999999993</v>
      </c>
      <c r="R158" s="3">
        <f t="shared" si="17"/>
        <v>0.28800220750551875</v>
      </c>
      <c r="S158">
        <v>41.084195000000001</v>
      </c>
      <c r="T158">
        <v>-81.514059000000003</v>
      </c>
      <c r="U158">
        <f t="shared" ca="1" si="12"/>
        <v>1024214.3999999999</v>
      </c>
      <c r="V158">
        <f t="shared" ca="1" si="13"/>
        <v>636</v>
      </c>
      <c r="W158" s="8">
        <f t="shared" ca="1" si="14"/>
        <v>1.9199999999999998E-2</v>
      </c>
      <c r="X158">
        <f t="shared" ca="1" si="15"/>
        <v>7632</v>
      </c>
      <c r="Y158">
        <f t="shared" ca="1" si="16"/>
        <v>134.19999999999999</v>
      </c>
    </row>
    <row r="159" spans="1:25" x14ac:dyDescent="0.3">
      <c r="A159" t="s">
        <v>181</v>
      </c>
      <c r="B159" t="s">
        <v>301</v>
      </c>
      <c r="C159" t="s">
        <v>266</v>
      </c>
      <c r="D159">
        <v>61</v>
      </c>
      <c r="E159">
        <v>12.2</v>
      </c>
      <c r="F159">
        <v>11.8</v>
      </c>
      <c r="G159">
        <v>12</v>
      </c>
      <c r="H159">
        <v>11.5</v>
      </c>
      <c r="I159">
        <v>10</v>
      </c>
      <c r="J159">
        <v>9.1999999999999993</v>
      </c>
      <c r="K159">
        <v>8.6</v>
      </c>
      <c r="L159">
        <v>8.1999999999999993</v>
      </c>
      <c r="M159">
        <v>8.9</v>
      </c>
      <c r="N159">
        <v>9.9</v>
      </c>
      <c r="O159">
        <v>11.8</v>
      </c>
      <c r="P159">
        <v>12</v>
      </c>
      <c r="Q159">
        <v>10.5</v>
      </c>
      <c r="R159" s="3">
        <f t="shared" si="17"/>
        <v>0.31175496688741722</v>
      </c>
      <c r="S159">
        <v>41.504365</v>
      </c>
      <c r="T159">
        <v>-81.690459000000004</v>
      </c>
      <c r="U159">
        <f t="shared" ca="1" si="12"/>
        <v>611568</v>
      </c>
      <c r="V159">
        <f t="shared" ca="1" si="13"/>
        <v>620</v>
      </c>
      <c r="W159" s="8">
        <f t="shared" ca="1" si="14"/>
        <v>9.1000000000000004E-3</v>
      </c>
      <c r="X159">
        <f t="shared" ca="1" si="15"/>
        <v>7440</v>
      </c>
      <c r="Y159">
        <f t="shared" ca="1" si="16"/>
        <v>82.2</v>
      </c>
    </row>
    <row r="160" spans="1:25" x14ac:dyDescent="0.3">
      <c r="A160" t="s">
        <v>83</v>
      </c>
      <c r="B160" t="s">
        <v>301</v>
      </c>
      <c r="C160" t="s">
        <v>266</v>
      </c>
      <c r="D160">
        <v>53</v>
      </c>
      <c r="E160">
        <v>9.8000000000000007</v>
      </c>
      <c r="F160">
        <v>9.6</v>
      </c>
      <c r="G160">
        <v>10.1</v>
      </c>
      <c r="H160">
        <v>9.6</v>
      </c>
      <c r="I160">
        <v>8.1</v>
      </c>
      <c r="J160">
        <v>7.2</v>
      </c>
      <c r="K160">
        <v>6.5</v>
      </c>
      <c r="L160">
        <v>6.2</v>
      </c>
      <c r="M160">
        <v>6.4</v>
      </c>
      <c r="N160">
        <v>7.4</v>
      </c>
      <c r="O160">
        <v>9.1</v>
      </c>
      <c r="P160">
        <v>9.4</v>
      </c>
      <c r="Q160">
        <v>8.3000000000000007</v>
      </c>
      <c r="R160" s="3">
        <f t="shared" si="17"/>
        <v>0.24643487858719648</v>
      </c>
      <c r="S160">
        <v>39.961959999999998</v>
      </c>
      <c r="T160">
        <v>-83.002983999999998</v>
      </c>
      <c r="U160">
        <f t="shared" ca="1" si="12"/>
        <v>1172736</v>
      </c>
      <c r="V160">
        <f t="shared" ca="1" si="13"/>
        <v>640</v>
      </c>
      <c r="W160" s="8">
        <f t="shared" ca="1" si="14"/>
        <v>2.3900000000000001E-2</v>
      </c>
      <c r="X160">
        <f t="shared" ca="1" si="15"/>
        <v>7680</v>
      </c>
      <c r="Y160">
        <f t="shared" ca="1" si="16"/>
        <v>152.69999999999999</v>
      </c>
    </row>
    <row r="161" spans="1:25" x14ac:dyDescent="0.3">
      <c r="A161" t="s">
        <v>182</v>
      </c>
      <c r="B161" t="s">
        <v>301</v>
      </c>
      <c r="C161" t="s">
        <v>266</v>
      </c>
      <c r="D161">
        <v>59</v>
      </c>
      <c r="E161">
        <v>11.4</v>
      </c>
      <c r="F161">
        <v>11.3</v>
      </c>
      <c r="G161">
        <v>11.7</v>
      </c>
      <c r="H161">
        <v>11.3</v>
      </c>
      <c r="I161">
        <v>9.6999999999999993</v>
      </c>
      <c r="J161">
        <v>8.8000000000000007</v>
      </c>
      <c r="K161">
        <v>7.9</v>
      </c>
      <c r="L161">
        <v>7.3</v>
      </c>
      <c r="M161">
        <v>8.1</v>
      </c>
      <c r="N161">
        <v>9</v>
      </c>
      <c r="O161">
        <v>11</v>
      </c>
      <c r="P161">
        <v>11.1</v>
      </c>
      <c r="Q161">
        <v>9.9</v>
      </c>
      <c r="R161" s="3">
        <f t="shared" si="17"/>
        <v>0.29394039735099342</v>
      </c>
      <c r="S161">
        <v>39.75911</v>
      </c>
      <c r="T161">
        <v>-84.194439000000003</v>
      </c>
      <c r="U161">
        <f t="shared" ca="1" si="12"/>
        <v>1021896</v>
      </c>
      <c r="V161">
        <f t="shared" ca="1" si="13"/>
        <v>684</v>
      </c>
      <c r="W161" s="8">
        <f t="shared" ca="1" si="14"/>
        <v>1.47E-2</v>
      </c>
      <c r="X161">
        <f t="shared" ca="1" si="15"/>
        <v>8208</v>
      </c>
      <c r="Y161">
        <f t="shared" ca="1" si="16"/>
        <v>124.5</v>
      </c>
    </row>
    <row r="162" spans="1:25" x14ac:dyDescent="0.3">
      <c r="A162" t="s">
        <v>183</v>
      </c>
      <c r="B162" t="s">
        <v>301</v>
      </c>
      <c r="C162" t="s">
        <v>266</v>
      </c>
      <c r="D162">
        <v>18</v>
      </c>
      <c r="E162">
        <v>12.6</v>
      </c>
      <c r="F162">
        <v>11.9</v>
      </c>
      <c r="G162">
        <v>11.8</v>
      </c>
      <c r="H162">
        <v>11.4</v>
      </c>
      <c r="I162">
        <v>9.9</v>
      </c>
      <c r="J162">
        <v>9.1</v>
      </c>
      <c r="K162">
        <v>7.9</v>
      </c>
      <c r="L162">
        <v>7.8</v>
      </c>
      <c r="M162">
        <v>8.5</v>
      </c>
      <c r="N162">
        <v>9.9</v>
      </c>
      <c r="O162">
        <v>11.1</v>
      </c>
      <c r="P162">
        <v>11.7</v>
      </c>
      <c r="Q162">
        <v>10.3</v>
      </c>
      <c r="R162" s="3">
        <f t="shared" si="17"/>
        <v>0.3058167770419426</v>
      </c>
      <c r="S162">
        <v>40.758515000000003</v>
      </c>
      <c r="T162">
        <v>-82.514803999999998</v>
      </c>
      <c r="U162">
        <f t="shared" ca="1" si="12"/>
        <v>820010.39999999991</v>
      </c>
      <c r="V162">
        <f t="shared" ca="1" si="13"/>
        <v>698</v>
      </c>
      <c r="W162" s="8">
        <f t="shared" ca="1" si="14"/>
        <v>1.03E-2</v>
      </c>
      <c r="X162">
        <f t="shared" ca="1" si="15"/>
        <v>8376</v>
      </c>
      <c r="Y162">
        <f t="shared" ca="1" si="16"/>
        <v>97.899999999999991</v>
      </c>
    </row>
    <row r="163" spans="1:25" x14ac:dyDescent="0.3">
      <c r="A163" t="s">
        <v>184</v>
      </c>
      <c r="B163" t="s">
        <v>301</v>
      </c>
      <c r="C163" t="s">
        <v>266</v>
      </c>
      <c r="D163">
        <v>47</v>
      </c>
      <c r="E163">
        <v>11</v>
      </c>
      <c r="F163">
        <v>10.5</v>
      </c>
      <c r="G163">
        <v>11</v>
      </c>
      <c r="H163">
        <v>10.9</v>
      </c>
      <c r="I163">
        <v>9.5</v>
      </c>
      <c r="J163">
        <v>8.4</v>
      </c>
      <c r="K163">
        <v>7.5</v>
      </c>
      <c r="L163">
        <v>7.1</v>
      </c>
      <c r="M163">
        <v>7.7</v>
      </c>
      <c r="N163">
        <v>8.8000000000000007</v>
      </c>
      <c r="O163">
        <v>10.199999999999999</v>
      </c>
      <c r="P163">
        <v>10.4</v>
      </c>
      <c r="Q163">
        <v>9.4</v>
      </c>
      <c r="R163" s="3">
        <f t="shared" si="17"/>
        <v>0.27909492273730685</v>
      </c>
      <c r="S163">
        <v>41.65381</v>
      </c>
      <c r="T163">
        <v>-83.536259000000001</v>
      </c>
      <c r="U163">
        <f t="shared" ca="1" si="12"/>
        <v>967315.20000000007</v>
      </c>
      <c r="V163">
        <f t="shared" ca="1" si="13"/>
        <v>664</v>
      </c>
      <c r="W163" s="8">
        <f t="shared" ca="1" si="14"/>
        <v>1.9900000000000001E-2</v>
      </c>
      <c r="X163">
        <f t="shared" ca="1" si="15"/>
        <v>7968</v>
      </c>
      <c r="Y163">
        <f t="shared" ca="1" si="16"/>
        <v>121.4</v>
      </c>
    </row>
    <row r="164" spans="1:25" x14ac:dyDescent="0.3">
      <c r="A164" t="s">
        <v>185</v>
      </c>
      <c r="B164" t="s">
        <v>301</v>
      </c>
      <c r="C164" t="s">
        <v>266</v>
      </c>
      <c r="D164">
        <v>53</v>
      </c>
      <c r="E164">
        <v>11.4</v>
      </c>
      <c r="F164">
        <v>11.1</v>
      </c>
      <c r="G164">
        <v>11.3</v>
      </c>
      <c r="H164">
        <v>10.8</v>
      </c>
      <c r="I164">
        <v>9.4</v>
      </c>
      <c r="J164">
        <v>8.4</v>
      </c>
      <c r="K164">
        <v>7.7</v>
      </c>
      <c r="L164">
        <v>7.4</v>
      </c>
      <c r="M164">
        <v>8.1</v>
      </c>
      <c r="N164">
        <v>9.1999999999999993</v>
      </c>
      <c r="O164">
        <v>10.8</v>
      </c>
      <c r="P164">
        <v>11.1</v>
      </c>
      <c r="Q164">
        <v>9.6999999999999993</v>
      </c>
      <c r="R164" s="3">
        <f t="shared" si="17"/>
        <v>0.28800220750551875</v>
      </c>
      <c r="S164">
        <v>41.098100000000002</v>
      </c>
      <c r="T164">
        <v>-80.650789000000003</v>
      </c>
      <c r="U164">
        <f t="shared" ca="1" si="12"/>
        <v>1018735.2</v>
      </c>
      <c r="V164">
        <f t="shared" ca="1" si="13"/>
        <v>697</v>
      </c>
      <c r="W164" s="8">
        <f t="shared" ca="1" si="14"/>
        <v>1.7999999999999999E-2</v>
      </c>
      <c r="X164">
        <f t="shared" ca="1" si="15"/>
        <v>8364</v>
      </c>
      <c r="Y164">
        <f t="shared" ca="1" si="16"/>
        <v>121.8</v>
      </c>
    </row>
    <row r="165" spans="1:25" x14ac:dyDescent="0.3">
      <c r="A165" t="s">
        <v>186</v>
      </c>
      <c r="B165" t="s">
        <v>302</v>
      </c>
      <c r="C165" t="s">
        <v>263</v>
      </c>
      <c r="D165">
        <v>54</v>
      </c>
      <c r="E165">
        <v>12.5</v>
      </c>
      <c r="F165">
        <v>13.1</v>
      </c>
      <c r="G165">
        <v>14.3</v>
      </c>
      <c r="H165">
        <v>14.2</v>
      </c>
      <c r="I165">
        <v>12.5</v>
      </c>
      <c r="J165">
        <v>11.8</v>
      </c>
      <c r="K165">
        <v>10.9</v>
      </c>
      <c r="L165">
        <v>10.4</v>
      </c>
      <c r="M165">
        <v>10.8</v>
      </c>
      <c r="N165">
        <v>11.8</v>
      </c>
      <c r="O165">
        <v>12.3</v>
      </c>
      <c r="P165">
        <v>12.3</v>
      </c>
      <c r="Q165">
        <v>12.2</v>
      </c>
      <c r="R165" s="3">
        <f t="shared" si="17"/>
        <v>0.36222958057395144</v>
      </c>
      <c r="S165">
        <v>35.472005000000003</v>
      </c>
      <c r="T165">
        <v>-97.520334000000005</v>
      </c>
      <c r="U165">
        <f t="shared" ca="1" si="12"/>
        <v>740502</v>
      </c>
      <c r="V165">
        <f t="shared" ca="1" si="13"/>
        <v>653</v>
      </c>
      <c r="W165" s="8">
        <f t="shared" ca="1" si="14"/>
        <v>2.1899999999999999E-2</v>
      </c>
      <c r="X165">
        <f t="shared" ca="1" si="15"/>
        <v>7836</v>
      </c>
      <c r="Y165">
        <f t="shared" ca="1" si="16"/>
        <v>94.5</v>
      </c>
    </row>
    <row r="166" spans="1:25" x14ac:dyDescent="0.3">
      <c r="A166" t="s">
        <v>187</v>
      </c>
      <c r="B166" t="s">
        <v>302</v>
      </c>
      <c r="C166" t="s">
        <v>263</v>
      </c>
      <c r="D166">
        <v>54</v>
      </c>
      <c r="E166">
        <v>10.3</v>
      </c>
      <c r="F166">
        <v>10.7</v>
      </c>
      <c r="G166">
        <v>11.9</v>
      </c>
      <c r="H166">
        <v>11.9</v>
      </c>
      <c r="I166">
        <v>10.6</v>
      </c>
      <c r="J166">
        <v>9.9</v>
      </c>
      <c r="K166">
        <v>9.3000000000000007</v>
      </c>
      <c r="L166">
        <v>8.8000000000000007</v>
      </c>
      <c r="M166">
        <v>9.1</v>
      </c>
      <c r="N166">
        <v>9.6</v>
      </c>
      <c r="O166">
        <v>10.3</v>
      </c>
      <c r="P166">
        <v>10.1</v>
      </c>
      <c r="Q166">
        <v>10.199999999999999</v>
      </c>
      <c r="R166" s="3">
        <f t="shared" si="17"/>
        <v>0.30284768211920526</v>
      </c>
      <c r="S166">
        <v>36.149745000000003</v>
      </c>
      <c r="T166">
        <v>-95.993334000000004</v>
      </c>
      <c r="U166">
        <f t="shared" ca="1" si="12"/>
        <v>1102701.5999999999</v>
      </c>
      <c r="V166">
        <f t="shared" ca="1" si="13"/>
        <v>714</v>
      </c>
      <c r="W166" s="8">
        <f t="shared" ca="1" si="14"/>
        <v>1.7999999999999999E-2</v>
      </c>
      <c r="X166">
        <f t="shared" ca="1" si="15"/>
        <v>8568</v>
      </c>
      <c r="Y166">
        <f t="shared" ca="1" si="16"/>
        <v>128.69999999999999</v>
      </c>
    </row>
    <row r="167" spans="1:25" x14ac:dyDescent="0.3">
      <c r="A167" t="s">
        <v>188</v>
      </c>
      <c r="B167" t="s">
        <v>303</v>
      </c>
      <c r="C167" t="s">
        <v>264</v>
      </c>
      <c r="D167">
        <v>49</v>
      </c>
      <c r="E167">
        <v>9.1</v>
      </c>
      <c r="F167">
        <v>9</v>
      </c>
      <c r="G167">
        <v>8.8000000000000007</v>
      </c>
      <c r="H167">
        <v>8.6999999999999993</v>
      </c>
      <c r="I167">
        <v>8.5</v>
      </c>
      <c r="J167">
        <v>8.6</v>
      </c>
      <c r="K167">
        <v>8.6999999999999993</v>
      </c>
      <c r="L167">
        <v>8</v>
      </c>
      <c r="M167">
        <v>7.5</v>
      </c>
      <c r="N167">
        <v>7.5</v>
      </c>
      <c r="O167">
        <v>8.6</v>
      </c>
      <c r="P167">
        <v>9.1</v>
      </c>
      <c r="Q167">
        <v>8.5</v>
      </c>
      <c r="R167" s="3">
        <f t="shared" si="17"/>
        <v>0.2523730684326711</v>
      </c>
      <c r="S167">
        <v>46.189770000000003</v>
      </c>
      <c r="T167">
        <v>-123.83395400000001</v>
      </c>
      <c r="U167">
        <f t="shared" ca="1" si="12"/>
        <v>773760</v>
      </c>
      <c r="V167">
        <f t="shared" ca="1" si="13"/>
        <v>650</v>
      </c>
      <c r="W167" s="8">
        <f t="shared" ca="1" si="14"/>
        <v>1.3100000000000001E-2</v>
      </c>
      <c r="X167">
        <f t="shared" ca="1" si="15"/>
        <v>7800</v>
      </c>
      <c r="Y167">
        <f t="shared" ca="1" si="16"/>
        <v>99.2</v>
      </c>
    </row>
    <row r="168" spans="1:25" x14ac:dyDescent="0.3">
      <c r="A168" t="s">
        <v>189</v>
      </c>
      <c r="B168" t="s">
        <v>303</v>
      </c>
      <c r="C168" t="s">
        <v>264</v>
      </c>
      <c r="D168">
        <v>50</v>
      </c>
      <c r="E168">
        <v>7.8</v>
      </c>
      <c r="F168">
        <v>7.8</v>
      </c>
      <c r="G168">
        <v>8.1999999999999993</v>
      </c>
      <c r="H168">
        <v>7.7</v>
      </c>
      <c r="I168">
        <v>7.4</v>
      </c>
      <c r="J168">
        <v>7.6</v>
      </c>
      <c r="K168">
        <v>8</v>
      </c>
      <c r="L168">
        <v>7.6</v>
      </c>
      <c r="M168">
        <v>7.4</v>
      </c>
      <c r="N168">
        <v>6.7</v>
      </c>
      <c r="O168">
        <v>7.4</v>
      </c>
      <c r="P168">
        <v>7.6</v>
      </c>
      <c r="Q168">
        <v>7.6</v>
      </c>
      <c r="R168" s="3">
        <f t="shared" si="17"/>
        <v>0.22565121412803529</v>
      </c>
      <c r="S168">
        <v>44.04992</v>
      </c>
      <c r="T168">
        <v>-123.088544</v>
      </c>
      <c r="U168">
        <f t="shared" ca="1" si="12"/>
        <v>915129.60000000009</v>
      </c>
      <c r="V168">
        <f t="shared" ca="1" si="13"/>
        <v>616</v>
      </c>
      <c r="W168" s="8">
        <f t="shared" ca="1" si="14"/>
        <v>2.3E-2</v>
      </c>
      <c r="X168">
        <f t="shared" ca="1" si="15"/>
        <v>7392</v>
      </c>
      <c r="Y168">
        <f t="shared" ca="1" si="16"/>
        <v>123.80000000000001</v>
      </c>
    </row>
    <row r="169" spans="1:25" x14ac:dyDescent="0.3">
      <c r="A169" t="s">
        <v>190</v>
      </c>
      <c r="B169" t="s">
        <v>303</v>
      </c>
      <c r="C169" t="s">
        <v>264</v>
      </c>
      <c r="D169">
        <v>53</v>
      </c>
      <c r="E169">
        <v>4.0999999999999996</v>
      </c>
      <c r="F169">
        <v>4.5</v>
      </c>
      <c r="G169">
        <v>5.2</v>
      </c>
      <c r="H169">
        <v>5.6</v>
      </c>
      <c r="I169">
        <v>5.7</v>
      </c>
      <c r="J169">
        <v>5.9</v>
      </c>
      <c r="K169">
        <v>5.8</v>
      </c>
      <c r="L169">
        <v>5.3</v>
      </c>
      <c r="M169">
        <v>4.5</v>
      </c>
      <c r="N169">
        <v>3.7</v>
      </c>
      <c r="O169">
        <v>3.6</v>
      </c>
      <c r="P169">
        <v>3.7</v>
      </c>
      <c r="Q169">
        <v>4.8</v>
      </c>
      <c r="R169" s="3">
        <f t="shared" si="17"/>
        <v>0.14251655629139073</v>
      </c>
      <c r="S169">
        <v>42.323560000000001</v>
      </c>
      <c r="T169">
        <v>-122.875614</v>
      </c>
      <c r="U169">
        <f t="shared" ca="1" si="12"/>
        <v>879824.39999999991</v>
      </c>
      <c r="V169">
        <f t="shared" ca="1" si="13"/>
        <v>637</v>
      </c>
      <c r="W169" s="8">
        <f t="shared" ca="1" si="14"/>
        <v>8.8000000000000005E-3</v>
      </c>
      <c r="X169">
        <f t="shared" ca="1" si="15"/>
        <v>7644</v>
      </c>
      <c r="Y169">
        <f t="shared" ca="1" si="16"/>
        <v>115.1</v>
      </c>
    </row>
    <row r="170" spans="1:25" x14ac:dyDescent="0.3">
      <c r="A170" t="s">
        <v>191</v>
      </c>
      <c r="B170" t="s">
        <v>303</v>
      </c>
      <c r="C170" t="s">
        <v>264</v>
      </c>
      <c r="D170">
        <v>49</v>
      </c>
      <c r="E170">
        <v>7.6</v>
      </c>
      <c r="F170">
        <v>8.1999999999999993</v>
      </c>
      <c r="G170">
        <v>9.1</v>
      </c>
      <c r="H170">
        <v>9.8000000000000007</v>
      </c>
      <c r="I170">
        <v>9.5</v>
      </c>
      <c r="J170">
        <v>9.5</v>
      </c>
      <c r="K170">
        <v>9</v>
      </c>
      <c r="L170">
        <v>8.6</v>
      </c>
      <c r="M170">
        <v>8.3000000000000007</v>
      </c>
      <c r="N170">
        <v>7.6</v>
      </c>
      <c r="O170">
        <v>7.8</v>
      </c>
      <c r="P170">
        <v>7.8</v>
      </c>
      <c r="Q170">
        <v>8.6</v>
      </c>
      <c r="R170" s="3">
        <f t="shared" si="17"/>
        <v>0.25534216335540838</v>
      </c>
      <c r="S170">
        <v>45.671790000000001</v>
      </c>
      <c r="T170">
        <v>-118.786401</v>
      </c>
      <c r="U170">
        <f t="shared" ca="1" si="12"/>
        <v>908334</v>
      </c>
      <c r="V170">
        <f t="shared" ca="1" si="13"/>
        <v>623</v>
      </c>
      <c r="W170" s="8">
        <f t="shared" ca="1" si="14"/>
        <v>2.3099999999999999E-2</v>
      </c>
      <c r="X170">
        <f t="shared" ca="1" si="15"/>
        <v>7476</v>
      </c>
      <c r="Y170">
        <f t="shared" ca="1" si="16"/>
        <v>121.5</v>
      </c>
    </row>
    <row r="171" spans="1:25" x14ac:dyDescent="0.3">
      <c r="A171" t="s">
        <v>115</v>
      </c>
      <c r="B171" t="s">
        <v>303</v>
      </c>
      <c r="C171" t="s">
        <v>264</v>
      </c>
      <c r="D171">
        <v>54</v>
      </c>
      <c r="E171">
        <v>9.9</v>
      </c>
      <c r="F171">
        <v>9.3000000000000007</v>
      </c>
      <c r="G171">
        <v>8.3000000000000007</v>
      </c>
      <c r="H171">
        <v>7.4</v>
      </c>
      <c r="I171">
        <v>7.1</v>
      </c>
      <c r="J171">
        <v>7.2</v>
      </c>
      <c r="K171">
        <v>7.6</v>
      </c>
      <c r="L171">
        <v>7.1</v>
      </c>
      <c r="M171">
        <v>6.5</v>
      </c>
      <c r="N171">
        <v>6.5</v>
      </c>
      <c r="O171">
        <v>8.6</v>
      </c>
      <c r="P171">
        <v>9.6</v>
      </c>
      <c r="Q171">
        <v>7.9</v>
      </c>
      <c r="R171" s="3">
        <f t="shared" si="17"/>
        <v>0.23455849889624725</v>
      </c>
      <c r="S171">
        <v>45.511794999999999</v>
      </c>
      <c r="T171">
        <v>-122.675629</v>
      </c>
      <c r="U171">
        <f t="shared" ca="1" si="12"/>
        <v>1245153.6000000001</v>
      </c>
      <c r="V171">
        <f t="shared" ca="1" si="13"/>
        <v>666</v>
      </c>
      <c r="W171" s="8">
        <f t="shared" ca="1" si="14"/>
        <v>5.8999999999999999E-3</v>
      </c>
      <c r="X171">
        <f t="shared" ca="1" si="15"/>
        <v>7992</v>
      </c>
      <c r="Y171">
        <f t="shared" ca="1" si="16"/>
        <v>155.80000000000001</v>
      </c>
    </row>
    <row r="172" spans="1:25" x14ac:dyDescent="0.3">
      <c r="A172" t="s">
        <v>192</v>
      </c>
      <c r="B172" t="s">
        <v>303</v>
      </c>
      <c r="C172" t="s">
        <v>264</v>
      </c>
      <c r="D172">
        <v>54</v>
      </c>
      <c r="E172">
        <v>7.9</v>
      </c>
      <c r="F172">
        <v>7.8</v>
      </c>
      <c r="G172">
        <v>7.8</v>
      </c>
      <c r="H172">
        <v>7.2</v>
      </c>
      <c r="I172">
        <v>6.7</v>
      </c>
      <c r="J172">
        <v>6.6</v>
      </c>
      <c r="K172">
        <v>6.7</v>
      </c>
      <c r="L172">
        <v>6.3</v>
      </c>
      <c r="M172">
        <v>6.1</v>
      </c>
      <c r="N172">
        <v>6</v>
      </c>
      <c r="O172">
        <v>7.4</v>
      </c>
      <c r="P172">
        <v>7.8</v>
      </c>
      <c r="Q172">
        <v>7</v>
      </c>
      <c r="R172" s="3">
        <f t="shared" si="17"/>
        <v>0.20783664459161147</v>
      </c>
      <c r="S172">
        <v>44.933259999999997</v>
      </c>
      <c r="T172">
        <v>-123.043814</v>
      </c>
      <c r="U172">
        <f t="shared" ca="1" si="12"/>
        <v>1077206.4000000001</v>
      </c>
      <c r="V172">
        <f t="shared" ca="1" si="13"/>
        <v>678</v>
      </c>
      <c r="W172" s="8">
        <f t="shared" ca="1" si="14"/>
        <v>1.0500000000000001E-2</v>
      </c>
      <c r="X172">
        <f t="shared" ca="1" si="15"/>
        <v>8136</v>
      </c>
      <c r="Y172">
        <f t="shared" ca="1" si="16"/>
        <v>132.4</v>
      </c>
    </row>
    <row r="173" spans="1:25" x14ac:dyDescent="0.3">
      <c r="A173" t="s">
        <v>193</v>
      </c>
      <c r="B173" t="s">
        <v>303</v>
      </c>
      <c r="C173" t="s">
        <v>264</v>
      </c>
      <c r="D173">
        <v>54</v>
      </c>
      <c r="E173">
        <v>12.8</v>
      </c>
      <c r="F173">
        <v>12.5</v>
      </c>
      <c r="G173">
        <v>11.4</v>
      </c>
      <c r="H173">
        <v>10.4</v>
      </c>
      <c r="I173">
        <v>10.199999999999999</v>
      </c>
      <c r="J173">
        <v>10.8</v>
      </c>
      <c r="K173">
        <v>11.6</v>
      </c>
      <c r="L173">
        <v>10.7</v>
      </c>
      <c r="M173">
        <v>10.8</v>
      </c>
      <c r="N173">
        <v>11.6</v>
      </c>
      <c r="O173">
        <v>14</v>
      </c>
      <c r="P173">
        <v>13.2</v>
      </c>
      <c r="Q173">
        <v>11.7</v>
      </c>
      <c r="R173" s="3">
        <f t="shared" si="17"/>
        <v>0.34738410596026487</v>
      </c>
      <c r="S173">
        <v>44.637248999999997</v>
      </c>
      <c r="T173">
        <v>-123.57900600000001</v>
      </c>
      <c r="U173">
        <f t="shared" ca="1" si="12"/>
        <v>1195122</v>
      </c>
      <c r="V173">
        <f t="shared" ca="1" si="13"/>
        <v>695</v>
      </c>
      <c r="W173" s="8">
        <f t="shared" ca="1" si="14"/>
        <v>1.04E-2</v>
      </c>
      <c r="X173">
        <f t="shared" ca="1" si="15"/>
        <v>8340</v>
      </c>
      <c r="Y173">
        <f t="shared" ca="1" si="16"/>
        <v>143.30000000000001</v>
      </c>
    </row>
    <row r="174" spans="1:25" x14ac:dyDescent="0.3">
      <c r="A174" t="s">
        <v>194</v>
      </c>
      <c r="B174" t="s">
        <v>304</v>
      </c>
      <c r="C174" t="s">
        <v>295</v>
      </c>
      <c r="D174">
        <v>53</v>
      </c>
      <c r="E174">
        <v>10.1</v>
      </c>
      <c r="F174">
        <v>10.5</v>
      </c>
      <c r="G174">
        <v>11.1</v>
      </c>
      <c r="H174">
        <v>10.3</v>
      </c>
      <c r="I174">
        <v>9</v>
      </c>
      <c r="J174">
        <v>8.1</v>
      </c>
      <c r="K174">
        <v>7.2</v>
      </c>
      <c r="L174">
        <v>6.8</v>
      </c>
      <c r="M174">
        <v>7.3</v>
      </c>
      <c r="N174">
        <v>8</v>
      </c>
      <c r="O174">
        <v>9.1999999999999993</v>
      </c>
      <c r="P174">
        <v>9.5</v>
      </c>
      <c r="Q174">
        <v>8.9</v>
      </c>
      <c r="R174" s="3">
        <f t="shared" si="17"/>
        <v>0.26424944812362033</v>
      </c>
      <c r="S174">
        <v>40.60257</v>
      </c>
      <c r="T174">
        <v>-75.470203999999995</v>
      </c>
      <c r="U174">
        <f t="shared" ca="1" si="12"/>
        <v>915878.39999999991</v>
      </c>
      <c r="V174">
        <f t="shared" ca="1" si="13"/>
        <v>736</v>
      </c>
      <c r="W174" s="8">
        <f t="shared" ca="1" si="14"/>
        <v>2.1999999999999999E-2</v>
      </c>
      <c r="X174">
        <f t="shared" ca="1" si="15"/>
        <v>8832</v>
      </c>
      <c r="Y174">
        <f t="shared" ca="1" si="16"/>
        <v>103.69999999999999</v>
      </c>
    </row>
    <row r="175" spans="1:25" x14ac:dyDescent="0.3">
      <c r="A175" t="s">
        <v>195</v>
      </c>
      <c r="B175" t="s">
        <v>304</v>
      </c>
      <c r="C175" t="s">
        <v>295</v>
      </c>
      <c r="D175">
        <v>48</v>
      </c>
      <c r="E175">
        <v>13.1</v>
      </c>
      <c r="F175">
        <v>12</v>
      </c>
      <c r="G175">
        <v>11.9</v>
      </c>
      <c r="H175">
        <v>11.2</v>
      </c>
      <c r="I175">
        <v>9.9</v>
      </c>
      <c r="J175">
        <v>9.6</v>
      </c>
      <c r="K175">
        <v>9</v>
      </c>
      <c r="L175">
        <v>9</v>
      </c>
      <c r="M175">
        <v>9.9</v>
      </c>
      <c r="N175">
        <v>11.1</v>
      </c>
      <c r="O175">
        <v>12.8</v>
      </c>
      <c r="P175">
        <v>13</v>
      </c>
      <c r="Q175">
        <v>11</v>
      </c>
      <c r="R175" s="3">
        <f t="shared" si="17"/>
        <v>0.32660044150110373</v>
      </c>
      <c r="S175">
        <v>42.129444999999997</v>
      </c>
      <c r="T175">
        <v>-80.085239000000001</v>
      </c>
      <c r="U175">
        <f t="shared" ca="1" si="12"/>
        <v>1209038.4000000001</v>
      </c>
      <c r="V175">
        <f t="shared" ca="1" si="13"/>
        <v>684</v>
      </c>
      <c r="W175" s="8">
        <f t="shared" ca="1" si="14"/>
        <v>7.4999999999999997E-3</v>
      </c>
      <c r="X175">
        <f t="shared" ca="1" si="15"/>
        <v>8208</v>
      </c>
      <c r="Y175">
        <f t="shared" ca="1" si="16"/>
        <v>147.30000000000001</v>
      </c>
    </row>
    <row r="176" spans="1:25" x14ac:dyDescent="0.3">
      <c r="A176" t="s">
        <v>196</v>
      </c>
      <c r="B176" t="s">
        <v>304</v>
      </c>
      <c r="C176" t="s">
        <v>295</v>
      </c>
      <c r="D176">
        <v>48</v>
      </c>
      <c r="E176">
        <v>8.1999999999999993</v>
      </c>
      <c r="F176">
        <v>9</v>
      </c>
      <c r="G176">
        <v>9.5</v>
      </c>
      <c r="H176">
        <v>9.1</v>
      </c>
      <c r="I176">
        <v>7.6</v>
      </c>
      <c r="J176">
        <v>6.8</v>
      </c>
      <c r="K176">
        <v>6.2</v>
      </c>
      <c r="L176">
        <v>5.8</v>
      </c>
      <c r="M176">
        <v>6</v>
      </c>
      <c r="N176">
        <v>6.6</v>
      </c>
      <c r="O176">
        <v>7.8</v>
      </c>
      <c r="P176">
        <v>8</v>
      </c>
      <c r="Q176">
        <v>7.5</v>
      </c>
      <c r="R176" s="3">
        <f t="shared" si="17"/>
        <v>0.22268211920529801</v>
      </c>
      <c r="S176">
        <v>40.259864</v>
      </c>
      <c r="T176">
        <v>-76.882228999999995</v>
      </c>
      <c r="U176">
        <f t="shared" ca="1" si="12"/>
        <v>907459.20000000007</v>
      </c>
      <c r="V176">
        <f t="shared" ca="1" si="13"/>
        <v>648</v>
      </c>
      <c r="W176" s="8">
        <f t="shared" ca="1" si="14"/>
        <v>1.52E-2</v>
      </c>
      <c r="X176">
        <f t="shared" ca="1" si="15"/>
        <v>7776</v>
      </c>
      <c r="Y176">
        <f t="shared" ca="1" si="16"/>
        <v>116.7</v>
      </c>
    </row>
    <row r="177" spans="1:25" x14ac:dyDescent="0.3">
      <c r="A177" t="s">
        <v>197</v>
      </c>
      <c r="B177" t="s">
        <v>304</v>
      </c>
      <c r="C177" t="s">
        <v>295</v>
      </c>
      <c r="D177">
        <v>62</v>
      </c>
      <c r="E177">
        <v>10.3</v>
      </c>
      <c r="F177">
        <v>10.9</v>
      </c>
      <c r="G177">
        <v>11.3</v>
      </c>
      <c r="H177">
        <v>10.8</v>
      </c>
      <c r="I177">
        <v>9.5</v>
      </c>
      <c r="J177">
        <v>8.8000000000000007</v>
      </c>
      <c r="K177">
        <v>8.1999999999999993</v>
      </c>
      <c r="L177">
        <v>8</v>
      </c>
      <c r="M177">
        <v>8.3000000000000007</v>
      </c>
      <c r="N177">
        <v>8.8000000000000007</v>
      </c>
      <c r="O177">
        <v>9.6</v>
      </c>
      <c r="P177">
        <v>10</v>
      </c>
      <c r="Q177">
        <v>9.5</v>
      </c>
      <c r="R177" s="3">
        <f t="shared" si="17"/>
        <v>0.28206401766004419</v>
      </c>
      <c r="S177">
        <v>39.952269999999999</v>
      </c>
      <c r="T177">
        <v>-75.162368999999998</v>
      </c>
      <c r="U177">
        <f t="shared" ca="1" si="12"/>
        <v>676238.4</v>
      </c>
      <c r="V177">
        <f t="shared" ca="1" si="13"/>
        <v>604</v>
      </c>
      <c r="W177" s="8">
        <f t="shared" ca="1" si="14"/>
        <v>8.0999999999999996E-3</v>
      </c>
      <c r="X177">
        <f t="shared" ca="1" si="15"/>
        <v>7248</v>
      </c>
      <c r="Y177">
        <f t="shared" ca="1" si="16"/>
        <v>93.3</v>
      </c>
    </row>
    <row r="178" spans="1:25" x14ac:dyDescent="0.3">
      <c r="A178" t="s">
        <v>198</v>
      </c>
      <c r="B178" t="s">
        <v>304</v>
      </c>
      <c r="C178" t="s">
        <v>295</v>
      </c>
      <c r="D178">
        <v>50</v>
      </c>
      <c r="E178">
        <v>10.4</v>
      </c>
      <c r="F178">
        <v>10.3</v>
      </c>
      <c r="G178">
        <v>10.6</v>
      </c>
      <c r="H178">
        <v>10.199999999999999</v>
      </c>
      <c r="I178">
        <v>8.6999999999999993</v>
      </c>
      <c r="J178">
        <v>8</v>
      </c>
      <c r="K178">
        <v>7.3</v>
      </c>
      <c r="L178">
        <v>6.8</v>
      </c>
      <c r="M178">
        <v>7.4</v>
      </c>
      <c r="N178">
        <v>8.3000000000000007</v>
      </c>
      <c r="O178">
        <v>9.6999999999999993</v>
      </c>
      <c r="P178">
        <v>10.1</v>
      </c>
      <c r="Q178">
        <v>9</v>
      </c>
      <c r="R178" s="3">
        <f t="shared" si="17"/>
        <v>0.26721854304635762</v>
      </c>
      <c r="S178">
        <v>40.438315000000003</v>
      </c>
      <c r="T178">
        <v>-79.997449000000003</v>
      </c>
      <c r="U178">
        <f t="shared" ca="1" si="12"/>
        <v>690061.2</v>
      </c>
      <c r="V178">
        <f t="shared" ca="1" si="13"/>
        <v>619</v>
      </c>
      <c r="W178" s="8">
        <f t="shared" ca="1" si="14"/>
        <v>7.6E-3</v>
      </c>
      <c r="X178">
        <f t="shared" ca="1" si="15"/>
        <v>7428</v>
      </c>
      <c r="Y178">
        <f t="shared" ca="1" si="16"/>
        <v>92.899999999999991</v>
      </c>
    </row>
    <row r="179" spans="1:25" x14ac:dyDescent="0.3">
      <c r="A179" t="s">
        <v>199</v>
      </c>
      <c r="B179" t="s">
        <v>304</v>
      </c>
      <c r="C179" t="s">
        <v>295</v>
      </c>
      <c r="D179">
        <v>47</v>
      </c>
      <c r="E179">
        <v>8.8000000000000007</v>
      </c>
      <c r="F179">
        <v>9</v>
      </c>
      <c r="G179">
        <v>9.4</v>
      </c>
      <c r="H179">
        <v>9.3000000000000007</v>
      </c>
      <c r="I179">
        <v>8.4</v>
      </c>
      <c r="J179">
        <v>7.7</v>
      </c>
      <c r="K179">
        <v>7.2</v>
      </c>
      <c r="L179">
        <v>6.9</v>
      </c>
      <c r="M179">
        <v>7.4</v>
      </c>
      <c r="N179">
        <v>7.7</v>
      </c>
      <c r="O179">
        <v>8.5</v>
      </c>
      <c r="P179">
        <v>8.6999999999999993</v>
      </c>
      <c r="Q179">
        <v>8.1999999999999993</v>
      </c>
      <c r="R179" s="3">
        <f t="shared" si="17"/>
        <v>0.24346578366445915</v>
      </c>
      <c r="S179">
        <v>41.335476</v>
      </c>
      <c r="T179">
        <v>-75.743433999999993</v>
      </c>
      <c r="U179">
        <f t="shared" ca="1" si="12"/>
        <v>1294917.6000000001</v>
      </c>
      <c r="V179">
        <f t="shared" ca="1" si="13"/>
        <v>709</v>
      </c>
      <c r="W179" s="8">
        <f t="shared" ca="1" si="14"/>
        <v>1.5800000000000002E-2</v>
      </c>
      <c r="X179">
        <f t="shared" ca="1" si="15"/>
        <v>8508</v>
      </c>
      <c r="Y179">
        <f t="shared" ca="1" si="16"/>
        <v>152.20000000000002</v>
      </c>
    </row>
    <row r="180" spans="1:25" x14ac:dyDescent="0.3">
      <c r="A180" t="s">
        <v>200</v>
      </c>
      <c r="B180" t="s">
        <v>304</v>
      </c>
      <c r="C180" t="s">
        <v>295</v>
      </c>
      <c r="D180">
        <v>40</v>
      </c>
      <c r="E180">
        <v>8.6</v>
      </c>
      <c r="F180">
        <v>8.6999999999999993</v>
      </c>
      <c r="G180">
        <v>9</v>
      </c>
      <c r="H180">
        <v>8.9</v>
      </c>
      <c r="I180">
        <v>7.7</v>
      </c>
      <c r="J180">
        <v>6.8</v>
      </c>
      <c r="K180">
        <v>6.3</v>
      </c>
      <c r="L180">
        <v>5.9</v>
      </c>
      <c r="M180">
        <v>6.1</v>
      </c>
      <c r="N180">
        <v>6.6</v>
      </c>
      <c r="O180">
        <v>7.9</v>
      </c>
      <c r="P180">
        <v>8.1999999999999993</v>
      </c>
      <c r="Q180">
        <v>7.6</v>
      </c>
      <c r="R180" s="3">
        <f t="shared" si="17"/>
        <v>0.22565121412803529</v>
      </c>
      <c r="S180">
        <v>41.240945000000004</v>
      </c>
      <c r="T180">
        <v>-77.001413999999997</v>
      </c>
      <c r="U180">
        <f t="shared" ca="1" si="12"/>
        <v>849630</v>
      </c>
      <c r="V180">
        <f t="shared" ca="1" si="13"/>
        <v>635</v>
      </c>
      <c r="W180" s="8">
        <f t="shared" ca="1" si="14"/>
        <v>7.0000000000000001E-3</v>
      </c>
      <c r="X180">
        <f t="shared" ca="1" si="15"/>
        <v>7620</v>
      </c>
      <c r="Y180">
        <f t="shared" ca="1" si="16"/>
        <v>111.5</v>
      </c>
    </row>
    <row r="181" spans="1:25" x14ac:dyDescent="0.3">
      <c r="A181" t="s">
        <v>201</v>
      </c>
      <c r="B181" t="s">
        <v>202</v>
      </c>
      <c r="C181" t="s">
        <v>265</v>
      </c>
      <c r="D181">
        <v>6</v>
      </c>
      <c r="E181">
        <v>12.6</v>
      </c>
      <c r="F181">
        <v>12.1</v>
      </c>
      <c r="G181">
        <v>11.8</v>
      </c>
      <c r="H181">
        <v>10.9</v>
      </c>
      <c r="I181">
        <v>10.199999999999999</v>
      </c>
      <c r="J181">
        <v>9.9</v>
      </c>
      <c r="K181">
        <v>9.6</v>
      </c>
      <c r="L181">
        <v>8.1</v>
      </c>
      <c r="M181">
        <v>8</v>
      </c>
      <c r="N181">
        <v>9.3000000000000007</v>
      </c>
      <c r="O181">
        <v>12.6</v>
      </c>
      <c r="P181">
        <v>11.8</v>
      </c>
      <c r="Q181">
        <v>10.6</v>
      </c>
      <c r="R181" s="3">
        <f t="shared" si="17"/>
        <v>0.3147240618101545</v>
      </c>
      <c r="S181">
        <v>41.172131</v>
      </c>
      <c r="T181">
        <v>-71.564269999999993</v>
      </c>
      <c r="U181">
        <f t="shared" ca="1" si="12"/>
        <v>869865.6</v>
      </c>
      <c r="V181">
        <f t="shared" ca="1" si="13"/>
        <v>722</v>
      </c>
      <c r="W181" s="8">
        <f t="shared" ca="1" si="14"/>
        <v>6.1999999999999998E-3</v>
      </c>
      <c r="X181">
        <f t="shared" ca="1" si="15"/>
        <v>8664</v>
      </c>
      <c r="Y181">
        <f t="shared" ca="1" si="16"/>
        <v>100.39999999999999</v>
      </c>
    </row>
    <row r="182" spans="1:25" x14ac:dyDescent="0.3">
      <c r="A182" t="s">
        <v>203</v>
      </c>
      <c r="B182" t="s">
        <v>202</v>
      </c>
      <c r="C182" t="s">
        <v>265</v>
      </c>
      <c r="D182">
        <v>49</v>
      </c>
      <c r="E182">
        <v>10.9</v>
      </c>
      <c r="F182">
        <v>11.4</v>
      </c>
      <c r="G182">
        <v>11.9</v>
      </c>
      <c r="H182">
        <v>11.8</v>
      </c>
      <c r="I182">
        <v>10.6</v>
      </c>
      <c r="J182">
        <v>9.9</v>
      </c>
      <c r="K182">
        <v>9.4</v>
      </c>
      <c r="L182">
        <v>9.1999999999999993</v>
      </c>
      <c r="M182">
        <v>9.3000000000000007</v>
      </c>
      <c r="N182">
        <v>9.5</v>
      </c>
      <c r="O182">
        <v>10.199999999999999</v>
      </c>
      <c r="P182">
        <v>10.5</v>
      </c>
      <c r="Q182">
        <v>10.4</v>
      </c>
      <c r="R182" s="3">
        <f t="shared" si="17"/>
        <v>0.30878587196467988</v>
      </c>
      <c r="S182">
        <v>41.823875000000001</v>
      </c>
      <c r="T182">
        <v>-71.411994000000007</v>
      </c>
      <c r="U182">
        <f t="shared" ca="1" si="12"/>
        <v>811103.99999999988</v>
      </c>
      <c r="V182">
        <f t="shared" ca="1" si="13"/>
        <v>680</v>
      </c>
      <c r="W182" s="8">
        <f t="shared" ca="1" si="14"/>
        <v>2.3800000000000002E-2</v>
      </c>
      <c r="X182">
        <f t="shared" ca="1" si="15"/>
        <v>8160</v>
      </c>
      <c r="Y182">
        <f t="shared" ca="1" si="16"/>
        <v>99.399999999999991</v>
      </c>
    </row>
    <row r="183" spans="1:25" x14ac:dyDescent="0.3">
      <c r="A183" t="s">
        <v>204</v>
      </c>
      <c r="B183" t="s">
        <v>205</v>
      </c>
      <c r="C183" t="s">
        <v>270</v>
      </c>
      <c r="D183">
        <v>53</v>
      </c>
      <c r="E183">
        <v>9.1</v>
      </c>
      <c r="F183">
        <v>9.8000000000000007</v>
      </c>
      <c r="G183">
        <v>10</v>
      </c>
      <c r="H183">
        <v>9.6999999999999993</v>
      </c>
      <c r="I183">
        <v>8.6</v>
      </c>
      <c r="J183">
        <v>8.3000000000000007</v>
      </c>
      <c r="K183">
        <v>7.8</v>
      </c>
      <c r="L183">
        <v>7.4</v>
      </c>
      <c r="M183">
        <v>7.7</v>
      </c>
      <c r="N183">
        <v>8</v>
      </c>
      <c r="O183">
        <v>8.1</v>
      </c>
      <c r="P183">
        <v>8.5</v>
      </c>
      <c r="Q183">
        <v>8.6</v>
      </c>
      <c r="R183" s="3">
        <f t="shared" si="17"/>
        <v>0.25534216335540838</v>
      </c>
      <c r="S183">
        <v>32.892445000000002</v>
      </c>
      <c r="T183">
        <v>-80.065999000000005</v>
      </c>
      <c r="U183">
        <f t="shared" ca="1" si="12"/>
        <v>1083524.3999999999</v>
      </c>
      <c r="V183">
        <f t="shared" ca="1" si="13"/>
        <v>651</v>
      </c>
      <c r="W183" s="8">
        <f t="shared" ca="1" si="14"/>
        <v>1.4200000000000001E-2</v>
      </c>
      <c r="X183">
        <f t="shared" ca="1" si="15"/>
        <v>7812</v>
      </c>
      <c r="Y183">
        <f t="shared" ca="1" si="16"/>
        <v>138.69999999999999</v>
      </c>
    </row>
    <row r="184" spans="1:25" x14ac:dyDescent="0.3">
      <c r="A184" t="s">
        <v>135</v>
      </c>
      <c r="B184" t="s">
        <v>205</v>
      </c>
      <c r="C184" t="s">
        <v>270</v>
      </c>
      <c r="D184">
        <v>54</v>
      </c>
      <c r="E184">
        <v>7.2</v>
      </c>
      <c r="F184">
        <v>7.7</v>
      </c>
      <c r="G184">
        <v>8.1999999999999993</v>
      </c>
      <c r="H184">
        <v>8.1999999999999993</v>
      </c>
      <c r="I184">
        <v>7</v>
      </c>
      <c r="J184">
        <v>6.6</v>
      </c>
      <c r="K184">
        <v>6.3</v>
      </c>
      <c r="L184">
        <v>5.8</v>
      </c>
      <c r="M184">
        <v>6</v>
      </c>
      <c r="N184">
        <v>6.1</v>
      </c>
      <c r="O184">
        <v>6.3</v>
      </c>
      <c r="P184">
        <v>6.7</v>
      </c>
      <c r="Q184">
        <v>6.8</v>
      </c>
      <c r="R184" s="3">
        <f t="shared" si="17"/>
        <v>0.20189845474613688</v>
      </c>
      <c r="S184">
        <v>33.998550000000002</v>
      </c>
      <c r="T184">
        <v>-81.045248999999998</v>
      </c>
      <c r="U184">
        <f t="shared" ca="1" si="12"/>
        <v>773186.39999999991</v>
      </c>
      <c r="V184">
        <f t="shared" ca="1" si="13"/>
        <v>667</v>
      </c>
      <c r="W184" s="8">
        <f t="shared" ca="1" si="14"/>
        <v>1.34E-2</v>
      </c>
      <c r="X184">
        <f t="shared" ca="1" si="15"/>
        <v>8004</v>
      </c>
      <c r="Y184">
        <f t="shared" ca="1" si="16"/>
        <v>96.6</v>
      </c>
    </row>
    <row r="185" spans="1:25" x14ac:dyDescent="0.3">
      <c r="A185" t="s">
        <v>305</v>
      </c>
      <c r="B185" t="s">
        <v>205</v>
      </c>
      <c r="C185" t="s">
        <v>270</v>
      </c>
      <c r="D185">
        <v>40</v>
      </c>
      <c r="E185">
        <v>7.6</v>
      </c>
      <c r="F185">
        <v>8</v>
      </c>
      <c r="G185">
        <v>8.3000000000000007</v>
      </c>
      <c r="H185">
        <v>8</v>
      </c>
      <c r="I185">
        <v>7</v>
      </c>
      <c r="J185">
        <v>6.5</v>
      </c>
      <c r="K185">
        <v>6.1</v>
      </c>
      <c r="L185">
        <v>5.7</v>
      </c>
      <c r="M185">
        <v>6.2</v>
      </c>
      <c r="N185">
        <v>6.5</v>
      </c>
      <c r="O185">
        <v>6.8</v>
      </c>
      <c r="P185">
        <v>7.4</v>
      </c>
      <c r="Q185">
        <v>7</v>
      </c>
      <c r="R185" s="3">
        <f t="shared" si="17"/>
        <v>0.20783664459161147</v>
      </c>
      <c r="S185">
        <v>34.890678000000001</v>
      </c>
      <c r="T185">
        <v>-82.216667000000001</v>
      </c>
      <c r="U185">
        <f t="shared" ca="1" si="12"/>
        <v>852816</v>
      </c>
      <c r="V185">
        <f t="shared" ca="1" si="13"/>
        <v>652</v>
      </c>
      <c r="W185" s="8">
        <f t="shared" ca="1" si="14"/>
        <v>2.41E-2</v>
      </c>
      <c r="X185">
        <f t="shared" ca="1" si="15"/>
        <v>7824</v>
      </c>
      <c r="Y185">
        <f t="shared" ca="1" si="16"/>
        <v>109</v>
      </c>
    </row>
    <row r="186" spans="1:25" x14ac:dyDescent="0.3">
      <c r="A186" t="s">
        <v>206</v>
      </c>
      <c r="B186" t="s">
        <v>306</v>
      </c>
      <c r="C186" t="s">
        <v>269</v>
      </c>
      <c r="D186">
        <v>26</v>
      </c>
      <c r="E186">
        <v>11.1</v>
      </c>
      <c r="F186">
        <v>11.3</v>
      </c>
      <c r="G186">
        <v>12.1</v>
      </c>
      <c r="H186">
        <v>12.7</v>
      </c>
      <c r="I186">
        <v>12.2</v>
      </c>
      <c r="J186">
        <v>10.5</v>
      </c>
      <c r="K186">
        <v>9.1999999999999993</v>
      </c>
      <c r="L186">
        <v>9.8000000000000007</v>
      </c>
      <c r="M186">
        <v>10.4</v>
      </c>
      <c r="N186">
        <v>10.8</v>
      </c>
      <c r="O186">
        <v>10.9</v>
      </c>
      <c r="P186">
        <v>10.5</v>
      </c>
      <c r="Q186">
        <v>11</v>
      </c>
      <c r="R186" s="3">
        <f t="shared" si="17"/>
        <v>0.32660044150110373</v>
      </c>
      <c r="S186">
        <v>45.459090000000003</v>
      </c>
      <c r="T186">
        <v>-98.487324000000001</v>
      </c>
      <c r="U186">
        <f t="shared" ca="1" si="12"/>
        <v>1075737.5999999999</v>
      </c>
      <c r="V186">
        <f t="shared" ca="1" si="13"/>
        <v>644</v>
      </c>
      <c r="W186" s="8">
        <f t="shared" ca="1" si="14"/>
        <v>6.7999999999999996E-3</v>
      </c>
      <c r="X186">
        <f t="shared" ca="1" si="15"/>
        <v>7728</v>
      </c>
      <c r="Y186">
        <f t="shared" ca="1" si="16"/>
        <v>139.19999999999999</v>
      </c>
    </row>
    <row r="187" spans="1:25" x14ac:dyDescent="0.3">
      <c r="A187" t="s">
        <v>207</v>
      </c>
      <c r="B187" t="s">
        <v>306</v>
      </c>
      <c r="C187" t="s">
        <v>269</v>
      </c>
      <c r="D187">
        <v>63</v>
      </c>
      <c r="E187">
        <v>11.4</v>
      </c>
      <c r="F187">
        <v>11.3</v>
      </c>
      <c r="G187">
        <v>12.3</v>
      </c>
      <c r="H187">
        <v>13.2</v>
      </c>
      <c r="I187">
        <v>12.3</v>
      </c>
      <c r="J187">
        <v>11.2</v>
      </c>
      <c r="K187">
        <v>10.3</v>
      </c>
      <c r="L187">
        <v>10.4</v>
      </c>
      <c r="M187">
        <v>11.1</v>
      </c>
      <c r="N187">
        <v>11.3</v>
      </c>
      <c r="O187">
        <v>11.7</v>
      </c>
      <c r="P187">
        <v>11.1</v>
      </c>
      <c r="Q187">
        <v>11.5</v>
      </c>
      <c r="R187" s="3">
        <f t="shared" si="17"/>
        <v>0.3414459161147903</v>
      </c>
      <c r="S187">
        <v>44.363849999999999</v>
      </c>
      <c r="T187">
        <v>-98.214139000000003</v>
      </c>
      <c r="U187">
        <f t="shared" ca="1" si="12"/>
        <v>838069.20000000007</v>
      </c>
      <c r="V187">
        <f t="shared" ca="1" si="13"/>
        <v>657</v>
      </c>
      <c r="W187" s="8">
        <f t="shared" ca="1" si="14"/>
        <v>1.9800000000000002E-2</v>
      </c>
      <c r="X187">
        <f t="shared" ca="1" si="15"/>
        <v>7884</v>
      </c>
      <c r="Y187">
        <f t="shared" ca="1" si="16"/>
        <v>106.30000000000001</v>
      </c>
    </row>
    <row r="188" spans="1:25" x14ac:dyDescent="0.3">
      <c r="A188" t="s">
        <v>208</v>
      </c>
      <c r="B188" t="s">
        <v>306</v>
      </c>
      <c r="C188" t="s">
        <v>269</v>
      </c>
      <c r="D188">
        <v>52</v>
      </c>
      <c r="E188">
        <v>10.7</v>
      </c>
      <c r="F188">
        <v>11.1</v>
      </c>
      <c r="G188">
        <v>12.4</v>
      </c>
      <c r="H188">
        <v>13.1</v>
      </c>
      <c r="I188">
        <v>12.2</v>
      </c>
      <c r="J188">
        <v>10.9</v>
      </c>
      <c r="K188">
        <v>10.1</v>
      </c>
      <c r="L188">
        <v>10.199999999999999</v>
      </c>
      <c r="M188">
        <v>11</v>
      </c>
      <c r="N188">
        <v>11.2</v>
      </c>
      <c r="O188">
        <v>10.9</v>
      </c>
      <c r="P188">
        <v>10.5</v>
      </c>
      <c r="Q188">
        <v>11.2</v>
      </c>
      <c r="R188" s="3">
        <f t="shared" si="17"/>
        <v>0.33253863134657835</v>
      </c>
      <c r="S188">
        <v>44.081164999999999</v>
      </c>
      <c r="T188">
        <v>-103.230889</v>
      </c>
      <c r="U188">
        <f t="shared" ca="1" si="12"/>
        <v>1017896.4</v>
      </c>
      <c r="V188">
        <f t="shared" ca="1" si="13"/>
        <v>653</v>
      </c>
      <c r="W188" s="8">
        <f t="shared" ca="1" si="14"/>
        <v>1.9199999999999998E-2</v>
      </c>
      <c r="X188">
        <f t="shared" ca="1" si="15"/>
        <v>7836</v>
      </c>
      <c r="Y188">
        <f t="shared" ca="1" si="16"/>
        <v>129.9</v>
      </c>
    </row>
    <row r="189" spans="1:25" x14ac:dyDescent="0.3">
      <c r="A189" t="s">
        <v>209</v>
      </c>
      <c r="B189" t="s">
        <v>306</v>
      </c>
      <c r="C189" t="s">
        <v>269</v>
      </c>
      <c r="D189">
        <v>54</v>
      </c>
      <c r="E189">
        <v>10.9</v>
      </c>
      <c r="F189">
        <v>11.1</v>
      </c>
      <c r="G189">
        <v>12.2</v>
      </c>
      <c r="H189">
        <v>12.9</v>
      </c>
      <c r="I189">
        <v>11.8</v>
      </c>
      <c r="J189">
        <v>10.7</v>
      </c>
      <c r="K189">
        <v>9.8000000000000007</v>
      </c>
      <c r="L189">
        <v>9.8000000000000007</v>
      </c>
      <c r="M189">
        <v>10.3</v>
      </c>
      <c r="N189">
        <v>10.7</v>
      </c>
      <c r="O189">
        <v>11.3</v>
      </c>
      <c r="P189">
        <v>10.7</v>
      </c>
      <c r="Q189">
        <v>11</v>
      </c>
      <c r="R189" s="3">
        <f t="shared" si="17"/>
        <v>0.32660044150110373</v>
      </c>
      <c r="S189">
        <v>43.545349999999999</v>
      </c>
      <c r="T189">
        <v>-96.731284000000002</v>
      </c>
      <c r="U189">
        <f t="shared" ca="1" si="12"/>
        <v>1182451.2</v>
      </c>
      <c r="V189">
        <f t="shared" ca="1" si="13"/>
        <v>664</v>
      </c>
      <c r="W189" s="8">
        <f t="shared" ca="1" si="14"/>
        <v>1.35E-2</v>
      </c>
      <c r="X189">
        <f t="shared" ca="1" si="15"/>
        <v>7968</v>
      </c>
      <c r="Y189">
        <f t="shared" ca="1" si="16"/>
        <v>148.4</v>
      </c>
    </row>
    <row r="190" spans="1:25" x14ac:dyDescent="0.3">
      <c r="A190" t="s">
        <v>18</v>
      </c>
      <c r="B190" t="s">
        <v>215</v>
      </c>
      <c r="C190" t="s">
        <v>261</v>
      </c>
      <c r="D190">
        <v>48</v>
      </c>
      <c r="E190">
        <v>6.4</v>
      </c>
      <c r="F190">
        <v>6.6</v>
      </c>
      <c r="G190">
        <v>7.1</v>
      </c>
      <c r="H190">
        <v>6.9</v>
      </c>
      <c r="I190">
        <v>5.3</v>
      </c>
      <c r="J190">
        <v>4.7</v>
      </c>
      <c r="K190">
        <v>4.3</v>
      </c>
      <c r="L190">
        <v>3.9</v>
      </c>
      <c r="M190">
        <v>4.3</v>
      </c>
      <c r="N190">
        <v>4.5999999999999996</v>
      </c>
      <c r="O190">
        <v>5.4</v>
      </c>
      <c r="P190">
        <v>5.8</v>
      </c>
      <c r="Q190">
        <v>5.4</v>
      </c>
      <c r="R190" s="3">
        <f t="shared" si="17"/>
        <v>0.16033112582781459</v>
      </c>
      <c r="S190">
        <v>42.556781999999998</v>
      </c>
      <c r="T190">
        <v>-88.050453000000005</v>
      </c>
      <c r="U190">
        <f t="shared" ca="1" si="12"/>
        <v>776476.8</v>
      </c>
      <c r="V190">
        <f t="shared" ca="1" si="13"/>
        <v>684</v>
      </c>
      <c r="W190" s="8">
        <f t="shared" ca="1" si="14"/>
        <v>6.0000000000000001E-3</v>
      </c>
      <c r="X190">
        <f t="shared" ca="1" si="15"/>
        <v>8208</v>
      </c>
      <c r="Y190">
        <f t="shared" ca="1" si="16"/>
        <v>94.600000000000009</v>
      </c>
    </row>
    <row r="191" spans="1:25" x14ac:dyDescent="0.3">
      <c r="A191" t="s">
        <v>210</v>
      </c>
      <c r="B191" t="s">
        <v>215</v>
      </c>
      <c r="C191" t="s">
        <v>261</v>
      </c>
      <c r="D191">
        <v>62</v>
      </c>
      <c r="E191">
        <v>6.9</v>
      </c>
      <c r="F191">
        <v>7.3</v>
      </c>
      <c r="G191">
        <v>7.7</v>
      </c>
      <c r="H191">
        <v>7.3</v>
      </c>
      <c r="I191">
        <v>5.9</v>
      </c>
      <c r="J191">
        <v>5.3</v>
      </c>
      <c r="K191">
        <v>5</v>
      </c>
      <c r="L191">
        <v>4.5999999999999996</v>
      </c>
      <c r="M191">
        <v>4.9000000000000004</v>
      </c>
      <c r="N191">
        <v>4.9000000000000004</v>
      </c>
      <c r="O191">
        <v>6</v>
      </c>
      <c r="P191">
        <v>6.4</v>
      </c>
      <c r="Q191">
        <v>6</v>
      </c>
      <c r="R191" s="3">
        <f t="shared" si="17"/>
        <v>0.17814569536423841</v>
      </c>
      <c r="S191">
        <v>35.046439999999997</v>
      </c>
      <c r="T191">
        <v>-85.309464000000006</v>
      </c>
      <c r="U191">
        <f t="shared" ca="1" si="12"/>
        <v>1094911.2</v>
      </c>
      <c r="V191">
        <f t="shared" ca="1" si="13"/>
        <v>723</v>
      </c>
      <c r="W191" s="8">
        <f t="shared" ca="1" si="14"/>
        <v>2.1100000000000001E-2</v>
      </c>
      <c r="X191">
        <f t="shared" ca="1" si="15"/>
        <v>8676</v>
      </c>
      <c r="Y191">
        <f t="shared" ca="1" si="16"/>
        <v>126.19999999999999</v>
      </c>
    </row>
    <row r="192" spans="1:25" x14ac:dyDescent="0.3">
      <c r="A192" t="s">
        <v>211</v>
      </c>
      <c r="B192" t="s">
        <v>215</v>
      </c>
      <c r="C192" t="s">
        <v>261</v>
      </c>
      <c r="D192">
        <v>60</v>
      </c>
      <c r="E192">
        <v>7.7</v>
      </c>
      <c r="F192">
        <v>8</v>
      </c>
      <c r="G192">
        <v>8.4</v>
      </c>
      <c r="H192">
        <v>8.4</v>
      </c>
      <c r="I192">
        <v>6.8</v>
      </c>
      <c r="J192">
        <v>6.3</v>
      </c>
      <c r="K192">
        <v>6</v>
      </c>
      <c r="L192">
        <v>5.5</v>
      </c>
      <c r="M192">
        <v>5.6</v>
      </c>
      <c r="N192">
        <v>5.7</v>
      </c>
      <c r="O192">
        <v>6.7</v>
      </c>
      <c r="P192">
        <v>7.2</v>
      </c>
      <c r="Q192">
        <v>6.9</v>
      </c>
      <c r="R192" s="3">
        <f t="shared" si="17"/>
        <v>0.20486754966887419</v>
      </c>
      <c r="S192">
        <v>35.960495000000002</v>
      </c>
      <c r="T192">
        <v>-83.920913999999996</v>
      </c>
      <c r="U192">
        <f t="shared" ca="1" si="12"/>
        <v>1165701.6000000001</v>
      </c>
      <c r="V192">
        <f t="shared" ca="1" si="13"/>
        <v>707</v>
      </c>
      <c r="W192" s="8">
        <f t="shared" ca="1" si="14"/>
        <v>8.0000000000000002E-3</v>
      </c>
      <c r="X192">
        <f t="shared" ca="1" si="15"/>
        <v>8484</v>
      </c>
      <c r="Y192">
        <f t="shared" ca="1" si="16"/>
        <v>137.4</v>
      </c>
    </row>
    <row r="193" spans="1:25" x14ac:dyDescent="0.3">
      <c r="A193" t="s">
        <v>212</v>
      </c>
      <c r="B193" t="s">
        <v>215</v>
      </c>
      <c r="C193" t="s">
        <v>261</v>
      </c>
      <c r="D193">
        <v>54</v>
      </c>
      <c r="E193">
        <v>10</v>
      </c>
      <c r="F193">
        <v>10.1</v>
      </c>
      <c r="G193">
        <v>10.7</v>
      </c>
      <c r="H193">
        <v>10.199999999999999</v>
      </c>
      <c r="I193">
        <v>8.8000000000000007</v>
      </c>
      <c r="J193">
        <v>7.9</v>
      </c>
      <c r="K193">
        <v>7.5</v>
      </c>
      <c r="L193">
        <v>6.9</v>
      </c>
      <c r="M193">
        <v>7.5</v>
      </c>
      <c r="N193">
        <v>7.7</v>
      </c>
      <c r="O193">
        <v>9</v>
      </c>
      <c r="P193">
        <v>9.6</v>
      </c>
      <c r="Q193">
        <v>8.8000000000000007</v>
      </c>
      <c r="R193" s="3">
        <f t="shared" si="17"/>
        <v>0.26128035320088305</v>
      </c>
      <c r="S193">
        <v>35.149679999999996</v>
      </c>
      <c r="T193">
        <v>-90.048929000000001</v>
      </c>
      <c r="U193">
        <f t="shared" ca="1" si="12"/>
        <v>1337952</v>
      </c>
      <c r="V193">
        <f t="shared" ca="1" si="13"/>
        <v>724</v>
      </c>
      <c r="W193" s="8">
        <f t="shared" ca="1" si="14"/>
        <v>1.24E-2</v>
      </c>
      <c r="X193">
        <f t="shared" ca="1" si="15"/>
        <v>8688</v>
      </c>
      <c r="Y193">
        <f t="shared" ca="1" si="16"/>
        <v>154</v>
      </c>
    </row>
    <row r="194" spans="1:25" x14ac:dyDescent="0.3">
      <c r="A194" t="s">
        <v>213</v>
      </c>
      <c r="B194" t="s">
        <v>215</v>
      </c>
      <c r="C194" t="s">
        <v>261</v>
      </c>
      <c r="D194">
        <v>61</v>
      </c>
      <c r="E194">
        <v>9.1</v>
      </c>
      <c r="F194">
        <v>9.3000000000000007</v>
      </c>
      <c r="G194">
        <v>9.9</v>
      </c>
      <c r="H194">
        <v>9.1999999999999993</v>
      </c>
      <c r="I194">
        <v>7.6</v>
      </c>
      <c r="J194">
        <v>7</v>
      </c>
      <c r="K194">
        <v>6.5</v>
      </c>
      <c r="L194">
        <v>6.2</v>
      </c>
      <c r="M194">
        <v>6.5</v>
      </c>
      <c r="N194">
        <v>6.8</v>
      </c>
      <c r="O194">
        <v>8.4</v>
      </c>
      <c r="P194">
        <v>8.9</v>
      </c>
      <c r="Q194">
        <v>8</v>
      </c>
      <c r="R194" s="3">
        <f t="shared" si="17"/>
        <v>0.23752759381898456</v>
      </c>
      <c r="S194">
        <v>36.167783</v>
      </c>
      <c r="T194">
        <v>-86.778364999999994</v>
      </c>
      <c r="U194">
        <f t="shared" ca="1" si="12"/>
        <v>1166521.2</v>
      </c>
      <c r="V194">
        <f t="shared" ca="1" si="13"/>
        <v>611</v>
      </c>
      <c r="W194" s="8">
        <f t="shared" ca="1" si="14"/>
        <v>5.4999999999999997E-3</v>
      </c>
      <c r="X194">
        <f t="shared" ca="1" si="15"/>
        <v>7332</v>
      </c>
      <c r="Y194">
        <f t="shared" ca="1" si="16"/>
        <v>159.1</v>
      </c>
    </row>
    <row r="195" spans="1:25" x14ac:dyDescent="0.3">
      <c r="A195" t="s">
        <v>214</v>
      </c>
      <c r="B195" t="s">
        <v>215</v>
      </c>
      <c r="C195" t="s">
        <v>261</v>
      </c>
      <c r="D195">
        <v>19</v>
      </c>
      <c r="E195">
        <v>4.5999999999999996</v>
      </c>
      <c r="F195">
        <v>4.7</v>
      </c>
      <c r="G195">
        <v>5</v>
      </c>
      <c r="H195">
        <v>5.4</v>
      </c>
      <c r="I195">
        <v>4.2</v>
      </c>
      <c r="J195">
        <v>3.9</v>
      </c>
      <c r="K195">
        <v>3.6</v>
      </c>
      <c r="L195">
        <v>3.3</v>
      </c>
      <c r="M195">
        <v>3.4</v>
      </c>
      <c r="N195">
        <v>3.2</v>
      </c>
      <c r="O195">
        <v>3.8</v>
      </c>
      <c r="P195">
        <v>4.2</v>
      </c>
      <c r="Q195">
        <v>4.0999999999999996</v>
      </c>
      <c r="R195" s="3">
        <f t="shared" si="17"/>
        <v>0.12173289183222957</v>
      </c>
      <c r="S195">
        <v>36.014780000000002</v>
      </c>
      <c r="T195">
        <v>-84.255263999999997</v>
      </c>
      <c r="U195">
        <f t="shared" ca="1" si="12"/>
        <v>1048320</v>
      </c>
      <c r="V195">
        <f t="shared" ca="1" si="13"/>
        <v>728</v>
      </c>
      <c r="W195" s="8">
        <f t="shared" ca="1" si="14"/>
        <v>1.21E-2</v>
      </c>
      <c r="X195">
        <f t="shared" ca="1" si="15"/>
        <v>8736</v>
      </c>
      <c r="Y195">
        <f t="shared" ca="1" si="16"/>
        <v>120</v>
      </c>
    </row>
    <row r="196" spans="1:25" x14ac:dyDescent="0.3">
      <c r="A196" t="s">
        <v>216</v>
      </c>
      <c r="B196" t="s">
        <v>307</v>
      </c>
      <c r="C196" t="s">
        <v>263</v>
      </c>
      <c r="D196">
        <v>58</v>
      </c>
      <c r="E196">
        <v>11.7</v>
      </c>
      <c r="F196">
        <v>12.5</v>
      </c>
      <c r="G196">
        <v>13.7</v>
      </c>
      <c r="H196">
        <v>13.8</v>
      </c>
      <c r="I196">
        <v>13</v>
      </c>
      <c r="J196">
        <v>12.4</v>
      </c>
      <c r="K196">
        <v>10.8</v>
      </c>
      <c r="L196">
        <v>10.1</v>
      </c>
      <c r="M196">
        <v>10.3</v>
      </c>
      <c r="N196">
        <v>11</v>
      </c>
      <c r="O196">
        <v>11.6</v>
      </c>
      <c r="P196">
        <v>11.7</v>
      </c>
      <c r="Q196">
        <v>11.9</v>
      </c>
      <c r="R196" s="3">
        <f t="shared" si="17"/>
        <v>0.35332229580573954</v>
      </c>
      <c r="S196">
        <v>32.449174999999997</v>
      </c>
      <c r="T196">
        <v>-99.741423999999995</v>
      </c>
      <c r="U196">
        <f t="shared" ref="U196:U238" ca="1" si="18">Y196*X196</f>
        <v>813412.79999999993</v>
      </c>
      <c r="V196">
        <f t="shared" ref="V196:V238" ca="1" si="19">RANDBETWEEN(603,737)</f>
        <v>684</v>
      </c>
      <c r="W196" s="8">
        <f t="shared" ref="W196:W238" ca="1" si="20">ROUND(RAND()*2%+0.5%,4)</f>
        <v>1.7000000000000001E-2</v>
      </c>
      <c r="X196">
        <f t="shared" ref="X196:X238" ca="1" si="21">V196*12</f>
        <v>8208</v>
      </c>
      <c r="Y196">
        <f t="shared" ref="Y196:Y238" ca="1" si="22">ROUND(RAND()*8+8,2)*10</f>
        <v>99.1</v>
      </c>
    </row>
    <row r="197" spans="1:25" x14ac:dyDescent="0.3">
      <c r="A197" t="s">
        <v>217</v>
      </c>
      <c r="B197" t="s">
        <v>307</v>
      </c>
      <c r="C197" t="s">
        <v>263</v>
      </c>
      <c r="D197">
        <v>61</v>
      </c>
      <c r="E197">
        <v>12.8</v>
      </c>
      <c r="F197">
        <v>13.8</v>
      </c>
      <c r="G197">
        <v>15.2</v>
      </c>
      <c r="H197">
        <v>15.2</v>
      </c>
      <c r="I197">
        <v>14.5</v>
      </c>
      <c r="J197">
        <v>14.2</v>
      </c>
      <c r="K197">
        <v>12.7</v>
      </c>
      <c r="L197">
        <v>12</v>
      </c>
      <c r="M197">
        <v>12.8</v>
      </c>
      <c r="N197">
        <v>12.8</v>
      </c>
      <c r="O197">
        <v>13</v>
      </c>
      <c r="P197">
        <v>12.7</v>
      </c>
      <c r="Q197">
        <v>13.5</v>
      </c>
      <c r="R197" s="3">
        <f t="shared" ref="R197:R238" si="23">Q197*(0.269)/9.06</f>
        <v>0.40082781456953642</v>
      </c>
      <c r="S197">
        <v>35.207255000000004</v>
      </c>
      <c r="T197">
        <v>-101.833894</v>
      </c>
      <c r="U197">
        <f t="shared" ca="1" si="18"/>
        <v>707486.39999999991</v>
      </c>
      <c r="V197">
        <f t="shared" ca="1" si="19"/>
        <v>636</v>
      </c>
      <c r="W197" s="8">
        <f t="shared" ca="1" si="20"/>
        <v>9.2999999999999992E-3</v>
      </c>
      <c r="X197">
        <f t="shared" ca="1" si="21"/>
        <v>7632</v>
      </c>
      <c r="Y197">
        <f t="shared" ca="1" si="22"/>
        <v>92.699999999999989</v>
      </c>
    </row>
    <row r="198" spans="1:25" x14ac:dyDescent="0.3">
      <c r="A198" t="s">
        <v>218</v>
      </c>
      <c r="B198" t="s">
        <v>307</v>
      </c>
      <c r="C198" t="s">
        <v>263</v>
      </c>
      <c r="D198">
        <v>61</v>
      </c>
      <c r="E198">
        <v>9.3000000000000007</v>
      </c>
      <c r="F198">
        <v>9.6999999999999993</v>
      </c>
      <c r="G198">
        <v>10.4</v>
      </c>
      <c r="H198">
        <v>10.1</v>
      </c>
      <c r="I198">
        <v>9.5</v>
      </c>
      <c r="J198">
        <v>9</v>
      </c>
      <c r="K198">
        <v>8.3000000000000007</v>
      </c>
      <c r="L198">
        <v>7.7</v>
      </c>
      <c r="M198">
        <v>7.7</v>
      </c>
      <c r="N198">
        <v>7.9</v>
      </c>
      <c r="O198">
        <v>8.6</v>
      </c>
      <c r="P198">
        <v>8.8000000000000007</v>
      </c>
      <c r="Q198">
        <v>8.9</v>
      </c>
      <c r="R198" s="3">
        <f t="shared" si="23"/>
        <v>0.26424944812362033</v>
      </c>
      <c r="S198">
        <v>30.267599000000001</v>
      </c>
      <c r="T198">
        <v>-97.742981</v>
      </c>
      <c r="U198">
        <f t="shared" ca="1" si="18"/>
        <v>781207.2</v>
      </c>
      <c r="V198">
        <f t="shared" ca="1" si="19"/>
        <v>613</v>
      </c>
      <c r="W198" s="8">
        <f t="shared" ca="1" si="20"/>
        <v>9.1999999999999998E-3</v>
      </c>
      <c r="X198">
        <f t="shared" ca="1" si="21"/>
        <v>7356</v>
      </c>
      <c r="Y198">
        <f t="shared" ca="1" si="22"/>
        <v>106.19999999999999</v>
      </c>
    </row>
    <row r="199" spans="1:25" x14ac:dyDescent="0.3">
      <c r="A199" t="s">
        <v>219</v>
      </c>
      <c r="B199" t="s">
        <v>307</v>
      </c>
      <c r="C199" t="s">
        <v>263</v>
      </c>
      <c r="D199">
        <v>13</v>
      </c>
      <c r="E199">
        <v>7.2</v>
      </c>
      <c r="F199">
        <v>7.4</v>
      </c>
      <c r="G199">
        <v>8.3000000000000007</v>
      </c>
      <c r="H199">
        <v>7.5</v>
      </c>
      <c r="I199">
        <v>7.6</v>
      </c>
      <c r="J199">
        <v>6.4</v>
      </c>
      <c r="K199">
        <v>6.3</v>
      </c>
      <c r="L199">
        <v>6</v>
      </c>
      <c r="M199">
        <v>6.1</v>
      </c>
      <c r="N199">
        <v>6.1</v>
      </c>
      <c r="O199">
        <v>7</v>
      </c>
      <c r="P199">
        <v>7.1</v>
      </c>
      <c r="Q199">
        <v>6.9</v>
      </c>
      <c r="R199" s="3">
        <f t="shared" si="23"/>
        <v>0.20486754966887419</v>
      </c>
      <c r="S199">
        <v>30.202750000000002</v>
      </c>
      <c r="T199">
        <v>-97.665329999999997</v>
      </c>
      <c r="U199">
        <f t="shared" ca="1" si="18"/>
        <v>643219.20000000007</v>
      </c>
      <c r="V199">
        <f t="shared" ca="1" si="19"/>
        <v>624</v>
      </c>
      <c r="W199" s="8">
        <f t="shared" ca="1" si="20"/>
        <v>1.5900000000000001E-2</v>
      </c>
      <c r="X199">
        <f t="shared" ca="1" si="21"/>
        <v>7488</v>
      </c>
      <c r="Y199">
        <f t="shared" ca="1" si="22"/>
        <v>85.9</v>
      </c>
    </row>
    <row r="200" spans="1:25" x14ac:dyDescent="0.3">
      <c r="A200" t="s">
        <v>220</v>
      </c>
      <c r="B200" t="s">
        <v>307</v>
      </c>
      <c r="C200" t="s">
        <v>263</v>
      </c>
      <c r="D200">
        <v>60</v>
      </c>
      <c r="E200">
        <v>11.1</v>
      </c>
      <c r="F200">
        <v>11.9</v>
      </c>
      <c r="G200">
        <v>13.1</v>
      </c>
      <c r="H200">
        <v>13.6</v>
      </c>
      <c r="I200">
        <v>12.9</v>
      </c>
      <c r="J200">
        <v>12</v>
      </c>
      <c r="K200">
        <v>11.3</v>
      </c>
      <c r="L200">
        <v>10.199999999999999</v>
      </c>
      <c r="M200">
        <v>9.3000000000000007</v>
      </c>
      <c r="N200">
        <v>9.4</v>
      </c>
      <c r="O200">
        <v>10.5</v>
      </c>
      <c r="P200">
        <v>10.6</v>
      </c>
      <c r="Q200">
        <v>11.3</v>
      </c>
      <c r="R200" s="3">
        <f t="shared" si="23"/>
        <v>0.33550772626931569</v>
      </c>
      <c r="S200">
        <v>25.899584999999998</v>
      </c>
      <c r="T200">
        <v>-97.495529000000005</v>
      </c>
      <c r="U200">
        <f t="shared" ca="1" si="18"/>
        <v>998730</v>
      </c>
      <c r="V200">
        <f t="shared" ca="1" si="19"/>
        <v>685</v>
      </c>
      <c r="W200" s="8">
        <f t="shared" ca="1" si="20"/>
        <v>1.6899999999999998E-2</v>
      </c>
      <c r="X200">
        <f t="shared" ca="1" si="21"/>
        <v>8220</v>
      </c>
      <c r="Y200">
        <f t="shared" ca="1" si="22"/>
        <v>121.5</v>
      </c>
    </row>
    <row r="201" spans="1:25" x14ac:dyDescent="0.3">
      <c r="A201" t="s">
        <v>221</v>
      </c>
      <c r="B201" t="s">
        <v>307</v>
      </c>
      <c r="C201" t="s">
        <v>263</v>
      </c>
      <c r="D201">
        <v>60</v>
      </c>
      <c r="E201">
        <v>12</v>
      </c>
      <c r="F201">
        <v>12.9</v>
      </c>
      <c r="G201">
        <v>14</v>
      </c>
      <c r="H201">
        <v>14.3</v>
      </c>
      <c r="I201">
        <v>12.8</v>
      </c>
      <c r="J201">
        <v>11.7</v>
      </c>
      <c r="K201">
        <v>11.5</v>
      </c>
      <c r="L201">
        <v>11</v>
      </c>
      <c r="M201">
        <v>10.4</v>
      </c>
      <c r="N201">
        <v>10.4</v>
      </c>
      <c r="O201">
        <v>11.7</v>
      </c>
      <c r="P201">
        <v>11.6</v>
      </c>
      <c r="Q201">
        <v>12</v>
      </c>
      <c r="R201" s="3">
        <f t="shared" si="23"/>
        <v>0.35629139072847682</v>
      </c>
      <c r="S201">
        <v>27.796410000000002</v>
      </c>
      <c r="T201">
        <v>-97.403564000000003</v>
      </c>
      <c r="U201">
        <f t="shared" ca="1" si="18"/>
        <v>761376</v>
      </c>
      <c r="V201">
        <f t="shared" ca="1" si="19"/>
        <v>616</v>
      </c>
      <c r="W201" s="8">
        <f t="shared" ca="1" si="20"/>
        <v>1.44E-2</v>
      </c>
      <c r="X201">
        <f t="shared" ca="1" si="21"/>
        <v>7392</v>
      </c>
      <c r="Y201">
        <f t="shared" ca="1" si="22"/>
        <v>103</v>
      </c>
    </row>
    <row r="202" spans="1:25" x14ac:dyDescent="0.3">
      <c r="A202" t="s">
        <v>222</v>
      </c>
      <c r="B202" t="s">
        <v>307</v>
      </c>
      <c r="C202" t="s">
        <v>263</v>
      </c>
      <c r="D202">
        <v>49</v>
      </c>
      <c r="E202">
        <v>11</v>
      </c>
      <c r="F202">
        <v>11.7</v>
      </c>
      <c r="G202">
        <v>12.6</v>
      </c>
      <c r="H202">
        <v>12.4</v>
      </c>
      <c r="I202">
        <v>11.1</v>
      </c>
      <c r="J202">
        <v>10.6</v>
      </c>
      <c r="K202">
        <v>9.8000000000000007</v>
      </c>
      <c r="L202">
        <v>8.9</v>
      </c>
      <c r="M202">
        <v>9.3000000000000007</v>
      </c>
      <c r="N202">
        <v>9.6999999999999993</v>
      </c>
      <c r="O202">
        <v>10.7</v>
      </c>
      <c r="P202">
        <v>10.8</v>
      </c>
      <c r="Q202">
        <v>10.7</v>
      </c>
      <c r="R202" s="3">
        <f t="shared" si="23"/>
        <v>0.31769315673289178</v>
      </c>
      <c r="S202">
        <v>32.874938999999998</v>
      </c>
      <c r="T202">
        <v>-97.043471999999994</v>
      </c>
      <c r="U202">
        <f t="shared" ca="1" si="18"/>
        <v>1105962</v>
      </c>
      <c r="V202">
        <f t="shared" ca="1" si="19"/>
        <v>715</v>
      </c>
      <c r="W202" s="8">
        <f t="shared" ca="1" si="20"/>
        <v>2.1299999999999999E-2</v>
      </c>
      <c r="X202">
        <f t="shared" ca="1" si="21"/>
        <v>8580</v>
      </c>
      <c r="Y202">
        <f t="shared" ca="1" si="22"/>
        <v>128.9</v>
      </c>
    </row>
    <row r="203" spans="1:25" x14ac:dyDescent="0.3">
      <c r="A203" t="s">
        <v>223</v>
      </c>
      <c r="B203" t="s">
        <v>307</v>
      </c>
      <c r="C203" t="s">
        <v>263</v>
      </c>
      <c r="D203">
        <v>3</v>
      </c>
      <c r="E203">
        <v>9.1</v>
      </c>
      <c r="F203">
        <v>10.1</v>
      </c>
      <c r="G203">
        <v>10.199999999999999</v>
      </c>
      <c r="H203">
        <v>11.4</v>
      </c>
      <c r="I203">
        <v>11.8</v>
      </c>
      <c r="J203">
        <v>10.3</v>
      </c>
      <c r="K203">
        <v>9.1</v>
      </c>
      <c r="L203">
        <v>8.5</v>
      </c>
      <c r="M203">
        <v>8.1</v>
      </c>
      <c r="N203">
        <v>9</v>
      </c>
      <c r="O203">
        <v>8.3000000000000007</v>
      </c>
      <c r="P203">
        <v>9</v>
      </c>
      <c r="Q203">
        <v>9.6</v>
      </c>
      <c r="R203" s="3">
        <f t="shared" si="23"/>
        <v>0.28503311258278147</v>
      </c>
      <c r="S203">
        <v>32.843921999999999</v>
      </c>
      <c r="T203">
        <v>-96.849693000000002</v>
      </c>
      <c r="U203">
        <f t="shared" ca="1" si="18"/>
        <v>897222</v>
      </c>
      <c r="V203">
        <f t="shared" ca="1" si="19"/>
        <v>653</v>
      </c>
      <c r="W203" s="8">
        <f t="shared" ca="1" si="20"/>
        <v>1.0500000000000001E-2</v>
      </c>
      <c r="X203">
        <f t="shared" ca="1" si="21"/>
        <v>7836</v>
      </c>
      <c r="Y203">
        <f t="shared" ca="1" si="22"/>
        <v>114.5</v>
      </c>
    </row>
    <row r="204" spans="1:25" x14ac:dyDescent="0.3">
      <c r="A204" t="s">
        <v>224</v>
      </c>
      <c r="B204" t="s">
        <v>307</v>
      </c>
      <c r="C204" t="s">
        <v>263</v>
      </c>
      <c r="D204">
        <v>23</v>
      </c>
      <c r="E204">
        <v>8.6</v>
      </c>
      <c r="F204">
        <v>9.1999999999999993</v>
      </c>
      <c r="G204">
        <v>10.7</v>
      </c>
      <c r="H204">
        <v>10.9</v>
      </c>
      <c r="I204">
        <v>10.7</v>
      </c>
      <c r="J204">
        <v>11.3</v>
      </c>
      <c r="K204">
        <v>10.7</v>
      </c>
      <c r="L204">
        <v>9.9</v>
      </c>
      <c r="M204">
        <v>8.8000000000000007</v>
      </c>
      <c r="N204">
        <v>8.9</v>
      </c>
      <c r="O204">
        <v>8</v>
      </c>
      <c r="P204">
        <v>8.1999999999999993</v>
      </c>
      <c r="Q204">
        <v>9.6999999999999993</v>
      </c>
      <c r="R204" s="3">
        <f t="shared" si="23"/>
        <v>0.28800220750551875</v>
      </c>
      <c r="S204">
        <v>29.366244999999999</v>
      </c>
      <c r="T204">
        <v>-100.898179</v>
      </c>
      <c r="U204">
        <f t="shared" ca="1" si="18"/>
        <v>707289.59999999998</v>
      </c>
      <c r="V204">
        <f t="shared" ca="1" si="19"/>
        <v>652</v>
      </c>
      <c r="W204" s="8">
        <f t="shared" ca="1" si="20"/>
        <v>2.3E-2</v>
      </c>
      <c r="X204">
        <f t="shared" ca="1" si="21"/>
        <v>7824</v>
      </c>
      <c r="Y204">
        <f t="shared" ca="1" si="22"/>
        <v>90.399999999999991</v>
      </c>
    </row>
    <row r="205" spans="1:25" x14ac:dyDescent="0.3">
      <c r="A205" t="s">
        <v>225</v>
      </c>
      <c r="B205" t="s">
        <v>307</v>
      </c>
      <c r="C205" t="s">
        <v>263</v>
      </c>
      <c r="D205">
        <v>60</v>
      </c>
      <c r="E205">
        <v>8.3000000000000007</v>
      </c>
      <c r="F205">
        <v>9.1</v>
      </c>
      <c r="G205">
        <v>10.9</v>
      </c>
      <c r="H205">
        <v>11</v>
      </c>
      <c r="I205">
        <v>10.3</v>
      </c>
      <c r="J205">
        <v>9.3000000000000007</v>
      </c>
      <c r="K205">
        <v>8.3000000000000007</v>
      </c>
      <c r="L205">
        <v>7.7</v>
      </c>
      <c r="M205">
        <v>7.6</v>
      </c>
      <c r="N205">
        <v>7.5</v>
      </c>
      <c r="O205">
        <v>8</v>
      </c>
      <c r="P205">
        <v>7.9</v>
      </c>
      <c r="Q205">
        <v>8.8000000000000007</v>
      </c>
      <c r="R205" s="3">
        <f t="shared" si="23"/>
        <v>0.26128035320088305</v>
      </c>
      <c r="S205">
        <v>31.759164999999999</v>
      </c>
      <c r="T205">
        <v>-106.487494</v>
      </c>
      <c r="U205">
        <f t="shared" ca="1" si="18"/>
        <v>1007731.1999999998</v>
      </c>
      <c r="V205">
        <f t="shared" ca="1" si="19"/>
        <v>644</v>
      </c>
      <c r="W205" s="8">
        <f t="shared" ca="1" si="20"/>
        <v>1.9400000000000001E-2</v>
      </c>
      <c r="X205">
        <f t="shared" ca="1" si="21"/>
        <v>7728</v>
      </c>
      <c r="Y205">
        <f t="shared" ca="1" si="22"/>
        <v>130.39999999999998</v>
      </c>
    </row>
    <row r="206" spans="1:25" x14ac:dyDescent="0.3">
      <c r="A206" t="s">
        <v>226</v>
      </c>
      <c r="B206" t="s">
        <v>307</v>
      </c>
      <c r="C206" t="s">
        <v>263</v>
      </c>
      <c r="D206">
        <v>60</v>
      </c>
      <c r="E206">
        <v>11.6</v>
      </c>
      <c r="F206">
        <v>11.8</v>
      </c>
      <c r="G206">
        <v>11.9</v>
      </c>
      <c r="H206">
        <v>12.1</v>
      </c>
      <c r="I206">
        <v>11.5</v>
      </c>
      <c r="J206">
        <v>10.7</v>
      </c>
      <c r="K206">
        <v>9.8000000000000007</v>
      </c>
      <c r="L206">
        <v>9.4</v>
      </c>
      <c r="M206">
        <v>10.1</v>
      </c>
      <c r="N206">
        <v>10.3</v>
      </c>
      <c r="O206">
        <v>11.2</v>
      </c>
      <c r="P206">
        <v>11.3</v>
      </c>
      <c r="Q206">
        <v>11</v>
      </c>
      <c r="R206" s="3">
        <f t="shared" si="23"/>
        <v>0.32660044150110373</v>
      </c>
      <c r="S206">
        <v>29.29533</v>
      </c>
      <c r="T206">
        <v>-94.807863999999995</v>
      </c>
      <c r="U206">
        <f t="shared" ca="1" si="18"/>
        <v>1211539.2</v>
      </c>
      <c r="V206">
        <f t="shared" ca="1" si="19"/>
        <v>709</v>
      </c>
      <c r="W206" s="8">
        <f t="shared" ca="1" si="20"/>
        <v>2.47E-2</v>
      </c>
      <c r="X206">
        <f t="shared" ca="1" si="21"/>
        <v>8508</v>
      </c>
      <c r="Y206">
        <f t="shared" ca="1" si="22"/>
        <v>142.4</v>
      </c>
    </row>
    <row r="207" spans="1:25" x14ac:dyDescent="0.3">
      <c r="A207" t="s">
        <v>227</v>
      </c>
      <c r="B207" t="s">
        <v>307</v>
      </c>
      <c r="C207" t="s">
        <v>263</v>
      </c>
      <c r="D207">
        <v>33</v>
      </c>
      <c r="E207">
        <v>8.1</v>
      </c>
      <c r="F207">
        <v>8.5</v>
      </c>
      <c r="G207">
        <v>9.1</v>
      </c>
      <c r="H207">
        <v>9</v>
      </c>
      <c r="I207">
        <v>8.1</v>
      </c>
      <c r="J207">
        <v>7.4</v>
      </c>
      <c r="K207">
        <v>6.7</v>
      </c>
      <c r="L207">
        <v>6.1</v>
      </c>
      <c r="M207">
        <v>6.5</v>
      </c>
      <c r="N207">
        <v>6.9</v>
      </c>
      <c r="O207">
        <v>7.6</v>
      </c>
      <c r="P207">
        <v>7.7</v>
      </c>
      <c r="Q207">
        <v>7.6</v>
      </c>
      <c r="R207" s="3">
        <f t="shared" si="23"/>
        <v>0.22565121412803529</v>
      </c>
      <c r="S207">
        <v>29.760449999999999</v>
      </c>
      <c r="T207">
        <v>-95.369783999999996</v>
      </c>
      <c r="U207">
        <f t="shared" ca="1" si="18"/>
        <v>1310400</v>
      </c>
      <c r="V207">
        <f t="shared" ca="1" si="19"/>
        <v>728</v>
      </c>
      <c r="W207" s="8">
        <f t="shared" ca="1" si="20"/>
        <v>1.84E-2</v>
      </c>
      <c r="X207">
        <f t="shared" ca="1" si="21"/>
        <v>8736</v>
      </c>
      <c r="Y207">
        <f t="shared" ca="1" si="22"/>
        <v>150</v>
      </c>
    </row>
    <row r="208" spans="1:25" x14ac:dyDescent="0.3">
      <c r="A208" t="s">
        <v>228</v>
      </c>
      <c r="B208" t="s">
        <v>307</v>
      </c>
      <c r="C208" t="s">
        <v>263</v>
      </c>
      <c r="D208">
        <v>53</v>
      </c>
      <c r="E208">
        <v>12</v>
      </c>
      <c r="F208">
        <v>13.2</v>
      </c>
      <c r="G208">
        <v>14.6</v>
      </c>
      <c r="H208">
        <v>14.7</v>
      </c>
      <c r="I208">
        <v>14.2</v>
      </c>
      <c r="J208">
        <v>13.6</v>
      </c>
      <c r="K208">
        <v>11.4</v>
      </c>
      <c r="L208">
        <v>10.1</v>
      </c>
      <c r="M208">
        <v>10.5</v>
      </c>
      <c r="N208">
        <v>11.2</v>
      </c>
      <c r="O208">
        <v>11.7</v>
      </c>
      <c r="P208">
        <v>11.8</v>
      </c>
      <c r="Q208">
        <v>12.4</v>
      </c>
      <c r="R208" s="3">
        <f t="shared" si="23"/>
        <v>0.36816777041942605</v>
      </c>
      <c r="S208">
        <v>33.592329999999997</v>
      </c>
      <c r="T208">
        <v>-101.855869</v>
      </c>
      <c r="U208">
        <f t="shared" ca="1" si="18"/>
        <v>656661.6</v>
      </c>
      <c r="V208">
        <f t="shared" ca="1" si="19"/>
        <v>606</v>
      </c>
      <c r="W208" s="8">
        <f t="shared" ca="1" si="20"/>
        <v>1.7999999999999999E-2</v>
      </c>
      <c r="X208">
        <f t="shared" ca="1" si="21"/>
        <v>7272</v>
      </c>
      <c r="Y208">
        <f t="shared" ca="1" si="22"/>
        <v>90.3</v>
      </c>
    </row>
    <row r="209" spans="1:25" x14ac:dyDescent="0.3">
      <c r="A209" t="s">
        <v>229</v>
      </c>
      <c r="B209" t="s">
        <v>307</v>
      </c>
      <c r="C209" t="s">
        <v>263</v>
      </c>
      <c r="D209">
        <v>49</v>
      </c>
      <c r="E209">
        <v>10.4</v>
      </c>
      <c r="F209">
        <v>11.2</v>
      </c>
      <c r="G209">
        <v>12.5</v>
      </c>
      <c r="H209">
        <v>12.8</v>
      </c>
      <c r="I209">
        <v>12.5</v>
      </c>
      <c r="J209">
        <v>12.3</v>
      </c>
      <c r="K209">
        <v>10.8</v>
      </c>
      <c r="L209">
        <v>10.1</v>
      </c>
      <c r="M209">
        <v>10.1</v>
      </c>
      <c r="N209">
        <v>10.1</v>
      </c>
      <c r="O209">
        <v>10.4</v>
      </c>
      <c r="P209">
        <v>10.1</v>
      </c>
      <c r="Q209">
        <v>11.1</v>
      </c>
      <c r="R209" s="3">
        <f t="shared" si="23"/>
        <v>0.32956953642384101</v>
      </c>
      <c r="S209">
        <v>31.849309999999999</v>
      </c>
      <c r="T209">
        <v>-102.374809</v>
      </c>
      <c r="U209">
        <f t="shared" ca="1" si="18"/>
        <v>865650</v>
      </c>
      <c r="V209">
        <f t="shared" ca="1" si="19"/>
        <v>725</v>
      </c>
      <c r="W209" s="8">
        <f t="shared" ca="1" si="20"/>
        <v>1.41E-2</v>
      </c>
      <c r="X209">
        <f t="shared" ca="1" si="21"/>
        <v>8700</v>
      </c>
      <c r="Y209">
        <f t="shared" ca="1" si="22"/>
        <v>99.5</v>
      </c>
    </row>
    <row r="210" spans="1:25" x14ac:dyDescent="0.3">
      <c r="A210" t="s">
        <v>230</v>
      </c>
      <c r="B210" t="s">
        <v>307</v>
      </c>
      <c r="C210" t="s">
        <v>263</v>
      </c>
      <c r="D210">
        <v>49</v>
      </c>
      <c r="E210">
        <v>10.7</v>
      </c>
      <c r="F210">
        <v>11.2</v>
      </c>
      <c r="G210">
        <v>11.5</v>
      </c>
      <c r="H210">
        <v>11.5</v>
      </c>
      <c r="I210">
        <v>10.1</v>
      </c>
      <c r="J210">
        <v>8.6999999999999993</v>
      </c>
      <c r="K210">
        <v>7.4</v>
      </c>
      <c r="L210">
        <v>7.1</v>
      </c>
      <c r="M210">
        <v>8.1999999999999993</v>
      </c>
      <c r="N210">
        <v>8.8000000000000007</v>
      </c>
      <c r="O210">
        <v>9.9</v>
      </c>
      <c r="P210">
        <v>10.3</v>
      </c>
      <c r="Q210">
        <v>9.6</v>
      </c>
      <c r="R210" s="3">
        <f t="shared" si="23"/>
        <v>0.28503311258278147</v>
      </c>
      <c r="S210">
        <v>29.899319999999999</v>
      </c>
      <c r="T210">
        <v>-93.929378999999997</v>
      </c>
      <c r="U210">
        <f t="shared" ca="1" si="18"/>
        <v>1188432</v>
      </c>
      <c r="V210">
        <f t="shared" ca="1" si="19"/>
        <v>655</v>
      </c>
      <c r="W210" s="8">
        <f t="shared" ca="1" si="20"/>
        <v>8.2000000000000007E-3</v>
      </c>
      <c r="X210">
        <f t="shared" ca="1" si="21"/>
        <v>7860</v>
      </c>
      <c r="Y210">
        <f t="shared" ca="1" si="22"/>
        <v>151.19999999999999</v>
      </c>
    </row>
    <row r="211" spans="1:25" x14ac:dyDescent="0.3">
      <c r="A211" t="s">
        <v>231</v>
      </c>
      <c r="B211" t="s">
        <v>307</v>
      </c>
      <c r="C211" t="s">
        <v>263</v>
      </c>
      <c r="D211">
        <v>53</v>
      </c>
      <c r="E211">
        <v>10.199999999999999</v>
      </c>
      <c r="F211">
        <v>10.8</v>
      </c>
      <c r="G211">
        <v>12</v>
      </c>
      <c r="H211">
        <v>12.1</v>
      </c>
      <c r="I211">
        <v>11.1</v>
      </c>
      <c r="J211">
        <v>10.8</v>
      </c>
      <c r="K211">
        <v>9.8000000000000007</v>
      </c>
      <c r="L211">
        <v>8.9</v>
      </c>
      <c r="M211">
        <v>8.9</v>
      </c>
      <c r="N211">
        <v>9.3000000000000007</v>
      </c>
      <c r="O211">
        <v>10</v>
      </c>
      <c r="P211">
        <v>9.9</v>
      </c>
      <c r="Q211">
        <v>10.3</v>
      </c>
      <c r="R211" s="3">
        <f t="shared" si="23"/>
        <v>0.3058167770419426</v>
      </c>
      <c r="S211">
        <v>31.461500000000001</v>
      </c>
      <c r="T211">
        <v>-100.442424</v>
      </c>
      <c r="U211">
        <f t="shared" ca="1" si="18"/>
        <v>973608</v>
      </c>
      <c r="V211">
        <f t="shared" ca="1" si="19"/>
        <v>718</v>
      </c>
      <c r="W211" s="8">
        <f t="shared" ca="1" si="20"/>
        <v>1.9699999999999999E-2</v>
      </c>
      <c r="X211">
        <f t="shared" ca="1" si="21"/>
        <v>8616</v>
      </c>
      <c r="Y211">
        <f t="shared" ca="1" si="22"/>
        <v>113</v>
      </c>
    </row>
    <row r="212" spans="1:25" x14ac:dyDescent="0.3">
      <c r="A212" t="s">
        <v>232</v>
      </c>
      <c r="B212" t="s">
        <v>307</v>
      </c>
      <c r="C212" t="s">
        <v>263</v>
      </c>
      <c r="D212">
        <v>60</v>
      </c>
      <c r="E212">
        <v>8.8000000000000007</v>
      </c>
      <c r="F212">
        <v>9.3000000000000007</v>
      </c>
      <c r="G212">
        <v>10.1</v>
      </c>
      <c r="H212">
        <v>10.1</v>
      </c>
      <c r="I212">
        <v>9.8000000000000007</v>
      </c>
      <c r="J212">
        <v>9.6999999999999993</v>
      </c>
      <c r="K212">
        <v>9.1</v>
      </c>
      <c r="L212">
        <v>8.4</v>
      </c>
      <c r="M212">
        <v>8.3000000000000007</v>
      </c>
      <c r="N212">
        <v>8.3000000000000007</v>
      </c>
      <c r="O212">
        <v>8.6</v>
      </c>
      <c r="P212">
        <v>8.4</v>
      </c>
      <c r="Q212">
        <v>9.1</v>
      </c>
      <c r="R212" s="3">
        <f t="shared" si="23"/>
        <v>0.27018763796909495</v>
      </c>
      <c r="S212">
        <v>29.424489999999999</v>
      </c>
      <c r="T212">
        <v>-98.494624000000002</v>
      </c>
      <c r="U212">
        <f t="shared" ca="1" si="18"/>
        <v>1044643.2</v>
      </c>
      <c r="V212">
        <f t="shared" ca="1" si="19"/>
        <v>692</v>
      </c>
      <c r="W212" s="8">
        <f t="shared" ca="1" si="20"/>
        <v>1.5299999999999999E-2</v>
      </c>
      <c r="X212">
        <f t="shared" ca="1" si="21"/>
        <v>8304</v>
      </c>
      <c r="Y212">
        <f t="shared" ca="1" si="22"/>
        <v>125.8</v>
      </c>
    </row>
    <row r="213" spans="1:25" x14ac:dyDescent="0.3">
      <c r="A213" t="s">
        <v>233</v>
      </c>
      <c r="B213" t="s">
        <v>307</v>
      </c>
      <c r="C213" t="s">
        <v>263</v>
      </c>
      <c r="D213">
        <v>41</v>
      </c>
      <c r="E213">
        <v>10.4</v>
      </c>
      <c r="F213">
        <v>10.9</v>
      </c>
      <c r="G213">
        <v>11.4</v>
      </c>
      <c r="H213">
        <v>11.7</v>
      </c>
      <c r="I213">
        <v>10.7</v>
      </c>
      <c r="J213">
        <v>9.6999999999999993</v>
      </c>
      <c r="K213">
        <v>8.9</v>
      </c>
      <c r="L213">
        <v>8.3000000000000007</v>
      </c>
      <c r="M213">
        <v>8.5</v>
      </c>
      <c r="N213">
        <v>8.9</v>
      </c>
      <c r="O213">
        <v>9.6</v>
      </c>
      <c r="P213">
        <v>10</v>
      </c>
      <c r="Q213">
        <v>9.9</v>
      </c>
      <c r="R213" s="3">
        <f t="shared" si="23"/>
        <v>0.29394039735099342</v>
      </c>
      <c r="S213">
        <v>28.805965</v>
      </c>
      <c r="T213">
        <v>-97.003574</v>
      </c>
      <c r="U213">
        <f t="shared" ca="1" si="18"/>
        <v>1040869.1999999998</v>
      </c>
      <c r="V213">
        <f t="shared" ca="1" si="19"/>
        <v>629</v>
      </c>
      <c r="W213" s="8">
        <f t="shared" ca="1" si="20"/>
        <v>2.5000000000000001E-2</v>
      </c>
      <c r="X213">
        <f t="shared" ca="1" si="21"/>
        <v>7548</v>
      </c>
      <c r="Y213">
        <f t="shared" ca="1" si="22"/>
        <v>137.89999999999998</v>
      </c>
    </row>
    <row r="214" spans="1:25" x14ac:dyDescent="0.3">
      <c r="A214" t="s">
        <v>234</v>
      </c>
      <c r="B214" t="s">
        <v>307</v>
      </c>
      <c r="C214" t="s">
        <v>263</v>
      </c>
      <c r="D214">
        <v>53</v>
      </c>
      <c r="E214">
        <v>11.3</v>
      </c>
      <c r="F214">
        <v>11.7</v>
      </c>
      <c r="G214">
        <v>12.7</v>
      </c>
      <c r="H214">
        <v>12.6</v>
      </c>
      <c r="I214">
        <v>11.5</v>
      </c>
      <c r="J214">
        <v>11</v>
      </c>
      <c r="K214">
        <v>10.7</v>
      </c>
      <c r="L214">
        <v>9.8000000000000007</v>
      </c>
      <c r="M214">
        <v>9.6</v>
      </c>
      <c r="N214">
        <v>10</v>
      </c>
      <c r="O214">
        <v>10.8</v>
      </c>
      <c r="P214">
        <v>10.9</v>
      </c>
      <c r="Q214">
        <v>11.1</v>
      </c>
      <c r="R214" s="3">
        <f t="shared" si="23"/>
        <v>0.32956953642384101</v>
      </c>
      <c r="S214">
        <v>31.571821</v>
      </c>
      <c r="T214">
        <v>-97.149507</v>
      </c>
      <c r="U214">
        <f t="shared" ca="1" si="18"/>
        <v>1314067.2000000002</v>
      </c>
      <c r="V214">
        <f t="shared" ca="1" si="19"/>
        <v>712</v>
      </c>
      <c r="W214" s="8">
        <f t="shared" ca="1" si="20"/>
        <v>5.1000000000000004E-3</v>
      </c>
      <c r="X214">
        <f t="shared" ca="1" si="21"/>
        <v>8544</v>
      </c>
      <c r="Y214">
        <f t="shared" ca="1" si="22"/>
        <v>153.80000000000001</v>
      </c>
    </row>
    <row r="215" spans="1:25" x14ac:dyDescent="0.3">
      <c r="A215" t="s">
        <v>235</v>
      </c>
      <c r="B215" t="s">
        <v>307</v>
      </c>
      <c r="C215" t="s">
        <v>263</v>
      </c>
      <c r="D215">
        <v>54</v>
      </c>
      <c r="E215">
        <v>11.3</v>
      </c>
      <c r="F215">
        <v>11.9</v>
      </c>
      <c r="G215">
        <v>13.1</v>
      </c>
      <c r="H215">
        <v>13.1</v>
      </c>
      <c r="I215">
        <v>12.2</v>
      </c>
      <c r="J215">
        <v>12.1</v>
      </c>
      <c r="K215">
        <v>11.1</v>
      </c>
      <c r="L215">
        <v>10.3</v>
      </c>
      <c r="M215">
        <v>10.4</v>
      </c>
      <c r="N215">
        <v>10.7</v>
      </c>
      <c r="O215">
        <v>11.4</v>
      </c>
      <c r="P215">
        <v>11.1</v>
      </c>
      <c r="Q215">
        <v>11.6</v>
      </c>
      <c r="R215" s="3">
        <f t="shared" si="23"/>
        <v>0.34441501103752759</v>
      </c>
      <c r="S215">
        <v>33.90831</v>
      </c>
      <c r="T215">
        <v>-98.500994000000006</v>
      </c>
      <c r="U215">
        <f t="shared" ca="1" si="18"/>
        <v>640147.19999999995</v>
      </c>
      <c r="V215">
        <f t="shared" ca="1" si="19"/>
        <v>616</v>
      </c>
      <c r="W215" s="8">
        <f t="shared" ca="1" si="20"/>
        <v>9.4000000000000004E-3</v>
      </c>
      <c r="X215">
        <f t="shared" ca="1" si="21"/>
        <v>7392</v>
      </c>
      <c r="Y215">
        <f t="shared" ca="1" si="22"/>
        <v>86.6</v>
      </c>
    </row>
    <row r="216" spans="1:25" x14ac:dyDescent="0.3">
      <c r="A216" t="s">
        <v>236</v>
      </c>
      <c r="B216" t="s">
        <v>308</v>
      </c>
      <c r="C216" t="s">
        <v>262</v>
      </c>
      <c r="D216">
        <v>73</v>
      </c>
      <c r="E216">
        <v>7.5</v>
      </c>
      <c r="F216">
        <v>8.1</v>
      </c>
      <c r="G216">
        <v>9.3000000000000007</v>
      </c>
      <c r="H216">
        <v>9.6</v>
      </c>
      <c r="I216">
        <v>9.4</v>
      </c>
      <c r="J216">
        <v>9.4</v>
      </c>
      <c r="K216">
        <v>9.5</v>
      </c>
      <c r="L216">
        <v>9.6999999999999993</v>
      </c>
      <c r="M216">
        <v>9.1</v>
      </c>
      <c r="N216">
        <v>8.5</v>
      </c>
      <c r="O216">
        <v>8</v>
      </c>
      <c r="P216">
        <v>7.6</v>
      </c>
      <c r="Q216">
        <v>8.8000000000000007</v>
      </c>
      <c r="R216" s="3">
        <f t="shared" si="23"/>
        <v>0.26128035320088305</v>
      </c>
      <c r="S216">
        <v>40.759504999999997</v>
      </c>
      <c r="T216">
        <v>-111.888229</v>
      </c>
      <c r="U216">
        <f t="shared" ca="1" si="18"/>
        <v>962082</v>
      </c>
      <c r="V216">
        <f t="shared" ca="1" si="19"/>
        <v>645</v>
      </c>
      <c r="W216" s="8">
        <f t="shared" ca="1" si="20"/>
        <v>1.1599999999999999E-2</v>
      </c>
      <c r="X216">
        <f t="shared" ca="1" si="21"/>
        <v>7740</v>
      </c>
      <c r="Y216">
        <f t="shared" ca="1" si="22"/>
        <v>124.3</v>
      </c>
    </row>
    <row r="217" spans="1:25" x14ac:dyDescent="0.3">
      <c r="A217" t="s">
        <v>237</v>
      </c>
      <c r="B217" t="s">
        <v>309</v>
      </c>
      <c r="C217" t="s">
        <v>265</v>
      </c>
      <c r="D217">
        <v>59</v>
      </c>
      <c r="E217">
        <v>9.6999999999999993</v>
      </c>
      <c r="F217">
        <v>9.4</v>
      </c>
      <c r="G217">
        <v>9.4</v>
      </c>
      <c r="H217">
        <v>9.5</v>
      </c>
      <c r="I217">
        <v>9</v>
      </c>
      <c r="J217">
        <v>8.5</v>
      </c>
      <c r="K217">
        <v>8</v>
      </c>
      <c r="L217">
        <v>7.7</v>
      </c>
      <c r="M217">
        <v>8.3000000000000007</v>
      </c>
      <c r="N217">
        <v>8.8000000000000007</v>
      </c>
      <c r="O217">
        <v>9.6</v>
      </c>
      <c r="P217">
        <v>9.9</v>
      </c>
      <c r="Q217">
        <v>9</v>
      </c>
      <c r="R217" s="3">
        <f t="shared" si="23"/>
        <v>0.26721854304635762</v>
      </c>
      <c r="S217">
        <v>44.475920000000002</v>
      </c>
      <c r="T217">
        <v>-73.213234</v>
      </c>
      <c r="U217">
        <f t="shared" ca="1" si="18"/>
        <v>773942.4</v>
      </c>
      <c r="V217">
        <f t="shared" ca="1" si="19"/>
        <v>698</v>
      </c>
      <c r="W217" s="8">
        <f t="shared" ca="1" si="20"/>
        <v>8.3999999999999995E-3</v>
      </c>
      <c r="X217">
        <f t="shared" ca="1" si="21"/>
        <v>8376</v>
      </c>
      <c r="Y217">
        <f t="shared" ca="1" si="22"/>
        <v>92.4</v>
      </c>
    </row>
    <row r="218" spans="1:25" x14ac:dyDescent="0.3">
      <c r="A218" t="s">
        <v>238</v>
      </c>
      <c r="B218" t="s">
        <v>310</v>
      </c>
      <c r="C218" t="s">
        <v>270</v>
      </c>
      <c r="D218">
        <v>35</v>
      </c>
      <c r="E218">
        <v>8</v>
      </c>
      <c r="F218">
        <v>8.1</v>
      </c>
      <c r="G218">
        <v>8.5</v>
      </c>
      <c r="H218">
        <v>8.4</v>
      </c>
      <c r="I218">
        <v>7</v>
      </c>
      <c r="J218">
        <v>6.3</v>
      </c>
      <c r="K218">
        <v>5.9</v>
      </c>
      <c r="L218">
        <v>5.6</v>
      </c>
      <c r="M218">
        <v>6.2</v>
      </c>
      <c r="N218">
        <v>6.5</v>
      </c>
      <c r="O218">
        <v>7.2</v>
      </c>
      <c r="P218">
        <v>7.1</v>
      </c>
      <c r="Q218">
        <v>7.1</v>
      </c>
      <c r="R218" s="3">
        <f t="shared" si="23"/>
        <v>0.21080573951434878</v>
      </c>
      <c r="S218">
        <v>37.414020000000001</v>
      </c>
      <c r="T218">
        <v>-79.142838999999995</v>
      </c>
      <c r="U218">
        <f t="shared" ca="1" si="18"/>
        <v>1139543.9999999998</v>
      </c>
      <c r="V218">
        <f t="shared" ca="1" si="19"/>
        <v>665</v>
      </c>
      <c r="W218" s="8">
        <f t="shared" ca="1" si="20"/>
        <v>2.2100000000000002E-2</v>
      </c>
      <c r="X218">
        <f t="shared" ca="1" si="21"/>
        <v>7980</v>
      </c>
      <c r="Y218">
        <f t="shared" ca="1" si="22"/>
        <v>142.79999999999998</v>
      </c>
    </row>
    <row r="219" spans="1:25" x14ac:dyDescent="0.3">
      <c r="A219" t="s">
        <v>147</v>
      </c>
      <c r="B219" t="s">
        <v>310</v>
      </c>
      <c r="C219" t="s">
        <v>270</v>
      </c>
      <c r="D219">
        <v>54</v>
      </c>
      <c r="E219">
        <v>11.4</v>
      </c>
      <c r="F219">
        <v>11.8</v>
      </c>
      <c r="G219">
        <v>12.3</v>
      </c>
      <c r="H219">
        <v>11.8</v>
      </c>
      <c r="I219">
        <v>10.4</v>
      </c>
      <c r="J219">
        <v>9.6999999999999993</v>
      </c>
      <c r="K219">
        <v>8.9</v>
      </c>
      <c r="L219">
        <v>8.8000000000000007</v>
      </c>
      <c r="M219">
        <v>9.6</v>
      </c>
      <c r="N219">
        <v>10.199999999999999</v>
      </c>
      <c r="O219">
        <v>10.3</v>
      </c>
      <c r="P219">
        <v>10.9</v>
      </c>
      <c r="Q219">
        <v>10.5</v>
      </c>
      <c r="R219" s="3">
        <f t="shared" si="23"/>
        <v>0.31175496688741722</v>
      </c>
      <c r="S219">
        <v>36.846825000000003</v>
      </c>
      <c r="T219">
        <v>-76.285068999999993</v>
      </c>
      <c r="U219">
        <f t="shared" ca="1" si="18"/>
        <v>704088</v>
      </c>
      <c r="V219">
        <f t="shared" ca="1" si="19"/>
        <v>635</v>
      </c>
      <c r="W219" s="8">
        <f t="shared" ca="1" si="20"/>
        <v>1.12E-2</v>
      </c>
      <c r="X219">
        <f t="shared" ca="1" si="21"/>
        <v>7620</v>
      </c>
      <c r="Y219">
        <f t="shared" ca="1" si="22"/>
        <v>92.4</v>
      </c>
    </row>
    <row r="220" spans="1:25" x14ac:dyDescent="0.3">
      <c r="A220" t="s">
        <v>239</v>
      </c>
      <c r="B220" t="s">
        <v>310</v>
      </c>
      <c r="C220" t="s">
        <v>270</v>
      </c>
      <c r="D220">
        <v>54</v>
      </c>
      <c r="E220">
        <v>8.1</v>
      </c>
      <c r="F220">
        <v>8.6</v>
      </c>
      <c r="G220">
        <v>9.1</v>
      </c>
      <c r="H220">
        <v>9</v>
      </c>
      <c r="I220">
        <v>7.9</v>
      </c>
      <c r="J220">
        <v>7.4</v>
      </c>
      <c r="K220">
        <v>6.9</v>
      </c>
      <c r="L220">
        <v>6.5</v>
      </c>
      <c r="M220">
        <v>6.7</v>
      </c>
      <c r="N220">
        <v>7</v>
      </c>
      <c r="O220">
        <v>7.6</v>
      </c>
      <c r="P220">
        <v>7.8</v>
      </c>
      <c r="Q220">
        <v>7.7</v>
      </c>
      <c r="R220" s="3">
        <f t="shared" si="23"/>
        <v>0.22862030905077266</v>
      </c>
      <c r="S220">
        <v>37.540700000000001</v>
      </c>
      <c r="T220">
        <v>-77.433654000000004</v>
      </c>
      <c r="U220">
        <f t="shared" ca="1" si="18"/>
        <v>803973.6</v>
      </c>
      <c r="V220">
        <f t="shared" ca="1" si="19"/>
        <v>653</v>
      </c>
      <c r="W220" s="8">
        <f t="shared" ca="1" si="20"/>
        <v>1.9900000000000001E-2</v>
      </c>
      <c r="X220">
        <f t="shared" ca="1" si="21"/>
        <v>7836</v>
      </c>
      <c r="Y220">
        <f t="shared" ca="1" si="22"/>
        <v>102.6</v>
      </c>
    </row>
    <row r="221" spans="1:25" x14ac:dyDescent="0.3">
      <c r="A221" t="s">
        <v>240</v>
      </c>
      <c r="B221" t="s">
        <v>310</v>
      </c>
      <c r="C221" t="s">
        <v>270</v>
      </c>
      <c r="D221">
        <v>54</v>
      </c>
      <c r="E221">
        <v>9.3000000000000007</v>
      </c>
      <c r="F221">
        <v>9.4</v>
      </c>
      <c r="G221">
        <v>10</v>
      </c>
      <c r="H221">
        <v>9.6</v>
      </c>
      <c r="I221">
        <v>7.8</v>
      </c>
      <c r="J221">
        <v>6.8</v>
      </c>
      <c r="K221">
        <v>6.5</v>
      </c>
      <c r="L221">
        <v>6.1</v>
      </c>
      <c r="M221">
        <v>6</v>
      </c>
      <c r="N221">
        <v>6.8</v>
      </c>
      <c r="O221">
        <v>8.1</v>
      </c>
      <c r="P221">
        <v>8.6</v>
      </c>
      <c r="Q221">
        <v>7.9</v>
      </c>
      <c r="R221" s="3">
        <f t="shared" si="23"/>
        <v>0.23455849889624725</v>
      </c>
      <c r="S221">
        <v>37.271524999999997</v>
      </c>
      <c r="T221">
        <v>-79.940534</v>
      </c>
      <c r="U221">
        <f t="shared" ca="1" si="18"/>
        <v>988239.6</v>
      </c>
      <c r="V221">
        <f t="shared" ca="1" si="19"/>
        <v>633</v>
      </c>
      <c r="W221" s="8">
        <f t="shared" ca="1" si="20"/>
        <v>2.35E-2</v>
      </c>
      <c r="X221">
        <f t="shared" ca="1" si="21"/>
        <v>7596</v>
      </c>
      <c r="Y221">
        <f t="shared" ca="1" si="22"/>
        <v>130.1</v>
      </c>
    </row>
    <row r="222" spans="1:25" x14ac:dyDescent="0.3">
      <c r="A222" t="s">
        <v>241</v>
      </c>
      <c r="B222" t="s">
        <v>311</v>
      </c>
      <c r="C222" t="s">
        <v>264</v>
      </c>
      <c r="D222">
        <v>49</v>
      </c>
      <c r="E222">
        <v>7</v>
      </c>
      <c r="F222">
        <v>7</v>
      </c>
      <c r="G222">
        <v>7.2</v>
      </c>
      <c r="H222">
        <v>7.3</v>
      </c>
      <c r="I222">
        <v>6.9</v>
      </c>
      <c r="J222">
        <v>6.7</v>
      </c>
      <c r="K222">
        <v>6.2</v>
      </c>
      <c r="L222">
        <v>6</v>
      </c>
      <c r="M222">
        <v>5.7</v>
      </c>
      <c r="N222">
        <v>5.8</v>
      </c>
      <c r="O222">
        <v>6.8</v>
      </c>
      <c r="P222">
        <v>7.1</v>
      </c>
      <c r="Q222">
        <v>6.6</v>
      </c>
      <c r="R222" s="3">
        <f t="shared" si="23"/>
        <v>0.19596026490066226</v>
      </c>
      <c r="S222">
        <v>47.039225000000002</v>
      </c>
      <c r="T222">
        <v>-122.891429</v>
      </c>
      <c r="U222">
        <f t="shared" ca="1" si="18"/>
        <v>975201.6</v>
      </c>
      <c r="V222">
        <f t="shared" ca="1" si="19"/>
        <v>646</v>
      </c>
      <c r="W222" s="8">
        <f t="shared" ca="1" si="20"/>
        <v>1.78E-2</v>
      </c>
      <c r="X222">
        <f t="shared" ca="1" si="21"/>
        <v>7752</v>
      </c>
      <c r="Y222">
        <f t="shared" ca="1" si="22"/>
        <v>125.8</v>
      </c>
    </row>
    <row r="223" spans="1:25" x14ac:dyDescent="0.3">
      <c r="A223" t="s">
        <v>242</v>
      </c>
      <c r="B223" t="s">
        <v>311</v>
      </c>
      <c r="C223" t="s">
        <v>264</v>
      </c>
      <c r="D223">
        <v>36</v>
      </c>
      <c r="E223">
        <v>6.7</v>
      </c>
      <c r="F223">
        <v>6.8</v>
      </c>
      <c r="G223">
        <v>6.6</v>
      </c>
      <c r="H223">
        <v>6.2</v>
      </c>
      <c r="I223">
        <v>5.9</v>
      </c>
      <c r="J223">
        <v>5.7</v>
      </c>
      <c r="K223">
        <v>5.4</v>
      </c>
      <c r="L223">
        <v>5.0999999999999996</v>
      </c>
      <c r="M223">
        <v>4.8</v>
      </c>
      <c r="N223">
        <v>5.3</v>
      </c>
      <c r="O223">
        <v>6.3</v>
      </c>
      <c r="P223">
        <v>6.5</v>
      </c>
      <c r="Q223">
        <v>5.9</v>
      </c>
      <c r="R223" s="3">
        <f t="shared" si="23"/>
        <v>0.1751766004415011</v>
      </c>
      <c r="S223">
        <v>47.934761000000002</v>
      </c>
      <c r="T223">
        <v>-124.53331</v>
      </c>
      <c r="U223">
        <f t="shared" ca="1" si="18"/>
        <v>1320580.8</v>
      </c>
      <c r="V223">
        <f t="shared" ca="1" si="19"/>
        <v>693</v>
      </c>
      <c r="W223" s="8">
        <f t="shared" ca="1" si="20"/>
        <v>6.4999999999999997E-3</v>
      </c>
      <c r="X223">
        <f t="shared" ca="1" si="21"/>
        <v>8316</v>
      </c>
      <c r="Y223">
        <f t="shared" ca="1" si="22"/>
        <v>158.80000000000001</v>
      </c>
    </row>
    <row r="224" spans="1:25" x14ac:dyDescent="0.3">
      <c r="A224" t="s">
        <v>243</v>
      </c>
      <c r="B224" t="s">
        <v>311</v>
      </c>
      <c r="C224" t="s">
        <v>264</v>
      </c>
      <c r="D224">
        <v>54</v>
      </c>
      <c r="E224">
        <v>9.5</v>
      </c>
      <c r="F224">
        <v>9.4</v>
      </c>
      <c r="G224">
        <v>9.4</v>
      </c>
      <c r="H224">
        <v>9.4</v>
      </c>
      <c r="I224">
        <v>8.9</v>
      </c>
      <c r="J224">
        <v>8.6</v>
      </c>
      <c r="K224">
        <v>8.1</v>
      </c>
      <c r="L224">
        <v>7.8</v>
      </c>
      <c r="M224">
        <v>8</v>
      </c>
      <c r="N224">
        <v>8.3000000000000007</v>
      </c>
      <c r="O224">
        <v>9.1</v>
      </c>
      <c r="P224">
        <v>9.6</v>
      </c>
      <c r="Q224">
        <v>8.8000000000000007</v>
      </c>
      <c r="R224" s="3">
        <f t="shared" si="23"/>
        <v>0.26128035320088305</v>
      </c>
      <c r="S224">
        <v>47.603560999999999</v>
      </c>
      <c r="T224">
        <v>-122.329437</v>
      </c>
      <c r="U224">
        <f t="shared" ca="1" si="18"/>
        <v>831211.20000000007</v>
      </c>
      <c r="V224">
        <f t="shared" ca="1" si="19"/>
        <v>639</v>
      </c>
      <c r="W224" s="8">
        <f t="shared" ca="1" si="20"/>
        <v>1.2699999999999999E-2</v>
      </c>
      <c r="X224">
        <f t="shared" ca="1" si="21"/>
        <v>7668</v>
      </c>
      <c r="Y224">
        <f t="shared" ca="1" si="22"/>
        <v>108.4</v>
      </c>
    </row>
    <row r="225" spans="1:25" x14ac:dyDescent="0.3">
      <c r="A225" t="s">
        <v>244</v>
      </c>
      <c r="B225" t="s">
        <v>311</v>
      </c>
      <c r="C225" t="s">
        <v>264</v>
      </c>
      <c r="D225">
        <v>55</v>
      </c>
      <c r="E225">
        <v>8.6999999999999993</v>
      </c>
      <c r="F225">
        <v>9.1999999999999993</v>
      </c>
      <c r="G225">
        <v>9.6999999999999993</v>
      </c>
      <c r="H225">
        <v>10</v>
      </c>
      <c r="I225">
        <v>9.1999999999999993</v>
      </c>
      <c r="J225">
        <v>9.3000000000000007</v>
      </c>
      <c r="K225">
        <v>8.6</v>
      </c>
      <c r="L225">
        <v>8.3000000000000007</v>
      </c>
      <c r="M225">
        <v>8.1999999999999993</v>
      </c>
      <c r="N225">
        <v>8.1999999999999993</v>
      </c>
      <c r="O225">
        <v>8.6</v>
      </c>
      <c r="P225">
        <v>8.6999999999999993</v>
      </c>
      <c r="Q225">
        <v>8.9</v>
      </c>
      <c r="R225" s="3">
        <f t="shared" si="23"/>
        <v>0.26424944812362033</v>
      </c>
      <c r="S225">
        <v>47.657260000000001</v>
      </c>
      <c r="T225">
        <v>-117.412279</v>
      </c>
      <c r="U225">
        <f t="shared" ca="1" si="18"/>
        <v>1290556.7999999998</v>
      </c>
      <c r="V225">
        <f t="shared" ca="1" si="19"/>
        <v>702</v>
      </c>
      <c r="W225" s="8">
        <f t="shared" ca="1" si="20"/>
        <v>7.7999999999999996E-3</v>
      </c>
      <c r="X225">
        <f t="shared" ca="1" si="21"/>
        <v>8424</v>
      </c>
      <c r="Y225">
        <f t="shared" ca="1" si="22"/>
        <v>153.19999999999999</v>
      </c>
    </row>
    <row r="226" spans="1:25" x14ac:dyDescent="0.3">
      <c r="A226" t="s">
        <v>245</v>
      </c>
      <c r="B226" t="s">
        <v>311</v>
      </c>
      <c r="C226" t="s">
        <v>264</v>
      </c>
      <c r="D226">
        <v>48</v>
      </c>
      <c r="E226">
        <v>5.6</v>
      </c>
      <c r="F226">
        <v>6.4</v>
      </c>
      <c r="G226">
        <v>7.9</v>
      </c>
      <c r="H226">
        <v>8.6</v>
      </c>
      <c r="I226">
        <v>8.5</v>
      </c>
      <c r="J226">
        <v>8.1999999999999993</v>
      </c>
      <c r="K226">
        <v>7.8</v>
      </c>
      <c r="L226">
        <v>7.4</v>
      </c>
      <c r="M226">
        <v>7.3</v>
      </c>
      <c r="N226">
        <v>6.6</v>
      </c>
      <c r="O226">
        <v>5.8</v>
      </c>
      <c r="P226">
        <v>5.0999999999999996</v>
      </c>
      <c r="Q226">
        <v>7.1</v>
      </c>
      <c r="R226" s="3">
        <f t="shared" si="23"/>
        <v>0.21080573951434878</v>
      </c>
      <c r="S226">
        <v>46.604134999999999</v>
      </c>
      <c r="T226">
        <v>-120.50704899999999</v>
      </c>
      <c r="U226">
        <f t="shared" ca="1" si="18"/>
        <v>954271.20000000007</v>
      </c>
      <c r="V226">
        <f t="shared" ca="1" si="19"/>
        <v>646</v>
      </c>
      <c r="W226" s="8">
        <f t="shared" ca="1" si="20"/>
        <v>1.43E-2</v>
      </c>
      <c r="X226">
        <f t="shared" ca="1" si="21"/>
        <v>7752</v>
      </c>
      <c r="Y226">
        <f t="shared" ca="1" si="22"/>
        <v>123.10000000000001</v>
      </c>
    </row>
    <row r="227" spans="1:25" x14ac:dyDescent="0.3">
      <c r="A227" t="s">
        <v>246</v>
      </c>
      <c r="B227" t="s">
        <v>312</v>
      </c>
      <c r="C227" t="s">
        <v>270</v>
      </c>
      <c r="D227">
        <v>38</v>
      </c>
      <c r="E227">
        <v>9.8000000000000007</v>
      </c>
      <c r="F227">
        <v>9.8000000000000007</v>
      </c>
      <c r="G227">
        <v>10.3</v>
      </c>
      <c r="H227">
        <v>9.9</v>
      </c>
      <c r="I227">
        <v>8.4</v>
      </c>
      <c r="J227">
        <v>7.3</v>
      </c>
      <c r="K227">
        <v>6.5</v>
      </c>
      <c r="L227">
        <v>6.2</v>
      </c>
      <c r="M227">
        <v>6.8</v>
      </c>
      <c r="N227">
        <v>7.8</v>
      </c>
      <c r="O227">
        <v>9.1</v>
      </c>
      <c r="P227">
        <v>9.6</v>
      </c>
      <c r="Q227">
        <v>8.5</v>
      </c>
      <c r="R227" s="3">
        <f t="shared" si="23"/>
        <v>0.2523730684326711</v>
      </c>
      <c r="S227">
        <v>37.777591999999999</v>
      </c>
      <c r="T227">
        <v>-81.187646999999998</v>
      </c>
      <c r="U227">
        <f t="shared" ca="1" si="18"/>
        <v>1078039.2</v>
      </c>
      <c r="V227">
        <f t="shared" ca="1" si="19"/>
        <v>623</v>
      </c>
      <c r="W227" s="8">
        <f t="shared" ca="1" si="20"/>
        <v>2.2499999999999999E-2</v>
      </c>
      <c r="X227">
        <f t="shared" ca="1" si="21"/>
        <v>7476</v>
      </c>
      <c r="Y227">
        <f t="shared" ca="1" si="22"/>
        <v>144.19999999999999</v>
      </c>
    </row>
    <row r="228" spans="1:25" x14ac:dyDescent="0.3">
      <c r="A228" t="s">
        <v>247</v>
      </c>
      <c r="B228" t="s">
        <v>312</v>
      </c>
      <c r="C228" t="s">
        <v>270</v>
      </c>
      <c r="D228">
        <v>55</v>
      </c>
      <c r="E228">
        <v>6.9</v>
      </c>
      <c r="F228">
        <v>6.9</v>
      </c>
      <c r="G228">
        <v>7.5</v>
      </c>
      <c r="H228">
        <v>7.1</v>
      </c>
      <c r="I228">
        <v>5.7</v>
      </c>
      <c r="J228">
        <v>5.2</v>
      </c>
      <c r="K228">
        <v>4.8</v>
      </c>
      <c r="L228">
        <v>4.3</v>
      </c>
      <c r="M228">
        <v>4.5999999999999996</v>
      </c>
      <c r="N228">
        <v>4.8</v>
      </c>
      <c r="O228">
        <v>6</v>
      </c>
      <c r="P228">
        <v>6.4</v>
      </c>
      <c r="Q228">
        <v>5.8</v>
      </c>
      <c r="R228" s="3">
        <f t="shared" si="23"/>
        <v>0.17220750551876379</v>
      </c>
      <c r="S228">
        <v>38.350194999999999</v>
      </c>
      <c r="T228">
        <v>-81.638988999999995</v>
      </c>
      <c r="U228">
        <f t="shared" ca="1" si="18"/>
        <v>710287.2</v>
      </c>
      <c r="V228">
        <f t="shared" ca="1" si="19"/>
        <v>714</v>
      </c>
      <c r="W228" s="8">
        <f t="shared" ca="1" si="20"/>
        <v>1.5699999999999999E-2</v>
      </c>
      <c r="X228">
        <f t="shared" ca="1" si="21"/>
        <v>8568</v>
      </c>
      <c r="Y228">
        <f t="shared" ca="1" si="22"/>
        <v>82.899999999999991</v>
      </c>
    </row>
    <row r="229" spans="1:25" x14ac:dyDescent="0.3">
      <c r="A229" t="s">
        <v>248</v>
      </c>
      <c r="B229" t="s">
        <v>312</v>
      </c>
      <c r="C229" t="s">
        <v>270</v>
      </c>
      <c r="D229">
        <v>31</v>
      </c>
      <c r="E229">
        <v>7</v>
      </c>
      <c r="F229">
        <v>7.5</v>
      </c>
      <c r="G229">
        <v>7.7</v>
      </c>
      <c r="H229">
        <v>7.4</v>
      </c>
      <c r="I229">
        <v>6.2</v>
      </c>
      <c r="J229">
        <v>4.5</v>
      </c>
      <c r="K229">
        <v>4</v>
      </c>
      <c r="L229">
        <v>3.9</v>
      </c>
      <c r="M229">
        <v>4</v>
      </c>
      <c r="N229">
        <v>4.5</v>
      </c>
      <c r="O229">
        <v>6.3</v>
      </c>
      <c r="P229">
        <v>6.4</v>
      </c>
      <c r="Q229">
        <v>5.8</v>
      </c>
      <c r="R229" s="3">
        <f t="shared" si="23"/>
        <v>0.17220750551876379</v>
      </c>
      <c r="S229">
        <v>38.924019999999999</v>
      </c>
      <c r="T229">
        <v>-79.844488999999996</v>
      </c>
      <c r="U229">
        <f t="shared" ca="1" si="18"/>
        <v>1245552</v>
      </c>
      <c r="V229">
        <f t="shared" ca="1" si="19"/>
        <v>674</v>
      </c>
      <c r="W229" s="8">
        <f t="shared" ca="1" si="20"/>
        <v>1.03E-2</v>
      </c>
      <c r="X229">
        <f t="shared" ca="1" si="21"/>
        <v>8088</v>
      </c>
      <c r="Y229">
        <f t="shared" ca="1" si="22"/>
        <v>154</v>
      </c>
    </row>
    <row r="230" spans="1:25" x14ac:dyDescent="0.3">
      <c r="A230" t="s">
        <v>249</v>
      </c>
      <c r="B230" t="s">
        <v>312</v>
      </c>
      <c r="C230" t="s">
        <v>270</v>
      </c>
      <c r="D230">
        <v>40</v>
      </c>
      <c r="E230">
        <v>7.5</v>
      </c>
      <c r="F230">
        <v>7.6</v>
      </c>
      <c r="G230">
        <v>8</v>
      </c>
      <c r="H230">
        <v>7.7</v>
      </c>
      <c r="I230">
        <v>6.2</v>
      </c>
      <c r="J230">
        <v>5.7</v>
      </c>
      <c r="K230">
        <v>5.3</v>
      </c>
      <c r="L230">
        <v>5.0999999999999996</v>
      </c>
      <c r="M230">
        <v>5.3</v>
      </c>
      <c r="N230">
        <v>5.8</v>
      </c>
      <c r="O230">
        <v>6.8</v>
      </c>
      <c r="P230">
        <v>7.3</v>
      </c>
      <c r="Q230">
        <v>6.5</v>
      </c>
      <c r="R230" s="3">
        <f t="shared" si="23"/>
        <v>0.19299116997792495</v>
      </c>
      <c r="S230">
        <v>38.419825000000003</v>
      </c>
      <c r="T230">
        <v>-82.445368999999999</v>
      </c>
      <c r="U230">
        <f t="shared" ca="1" si="18"/>
        <v>1122021.6000000001</v>
      </c>
      <c r="V230">
        <f t="shared" ca="1" si="19"/>
        <v>686</v>
      </c>
      <c r="W230" s="8">
        <f t="shared" ca="1" si="20"/>
        <v>1.5599999999999999E-2</v>
      </c>
      <c r="X230">
        <f t="shared" ca="1" si="21"/>
        <v>8232</v>
      </c>
      <c r="Y230">
        <f t="shared" ca="1" si="22"/>
        <v>136.30000000000001</v>
      </c>
    </row>
    <row r="231" spans="1:25" x14ac:dyDescent="0.3">
      <c r="A231" t="s">
        <v>250</v>
      </c>
      <c r="B231" t="s">
        <v>313</v>
      </c>
      <c r="C231" t="s">
        <v>266</v>
      </c>
      <c r="D231">
        <v>53</v>
      </c>
      <c r="E231">
        <v>10.8</v>
      </c>
      <c r="F231">
        <v>10.5</v>
      </c>
      <c r="G231">
        <v>10.7</v>
      </c>
      <c r="H231">
        <v>11.2</v>
      </c>
      <c r="I231">
        <v>10</v>
      </c>
      <c r="J231">
        <v>9.1</v>
      </c>
      <c r="K231">
        <v>8.1999999999999993</v>
      </c>
      <c r="L231">
        <v>7.9</v>
      </c>
      <c r="M231">
        <v>8.9</v>
      </c>
      <c r="N231">
        <v>9.8000000000000007</v>
      </c>
      <c r="O231">
        <v>10.8</v>
      </c>
      <c r="P231">
        <v>10.3</v>
      </c>
      <c r="Q231">
        <v>9.9</v>
      </c>
      <c r="R231" s="3">
        <f t="shared" si="23"/>
        <v>0.29394039735099342</v>
      </c>
      <c r="S231">
        <v>44.512794999999997</v>
      </c>
      <c r="T231">
        <v>-88.010159000000002</v>
      </c>
      <c r="U231">
        <f t="shared" ca="1" si="18"/>
        <v>622871.99999999988</v>
      </c>
      <c r="V231">
        <f t="shared" ca="1" si="19"/>
        <v>615</v>
      </c>
      <c r="W231" s="8">
        <f t="shared" ca="1" si="20"/>
        <v>2.3599999999999999E-2</v>
      </c>
      <c r="X231">
        <f t="shared" ca="1" si="21"/>
        <v>7380</v>
      </c>
      <c r="Y231">
        <f t="shared" ca="1" si="22"/>
        <v>84.399999999999991</v>
      </c>
    </row>
    <row r="232" spans="1:25" x14ac:dyDescent="0.3">
      <c r="A232" t="s">
        <v>251</v>
      </c>
      <c r="B232" t="s">
        <v>313</v>
      </c>
      <c r="C232" t="s">
        <v>266</v>
      </c>
      <c r="D232">
        <v>50</v>
      </c>
      <c r="E232">
        <v>8.6999999999999993</v>
      </c>
      <c r="F232">
        <v>8.6999999999999993</v>
      </c>
      <c r="G232">
        <v>9.3000000000000007</v>
      </c>
      <c r="H232">
        <v>10.4</v>
      </c>
      <c r="I232">
        <v>9.4</v>
      </c>
      <c r="J232">
        <v>8.4</v>
      </c>
      <c r="K232">
        <v>7.6</v>
      </c>
      <c r="L232">
        <v>7.5</v>
      </c>
      <c r="M232">
        <v>8.1999999999999993</v>
      </c>
      <c r="N232">
        <v>9.3000000000000007</v>
      </c>
      <c r="O232">
        <v>9.8000000000000007</v>
      </c>
      <c r="P232">
        <v>8.9</v>
      </c>
      <c r="Q232">
        <v>8.9</v>
      </c>
      <c r="R232" s="3">
        <f t="shared" si="23"/>
        <v>0.26424944812362033</v>
      </c>
      <c r="S232">
        <v>43.812624999999997</v>
      </c>
      <c r="T232">
        <v>-91.251919000000001</v>
      </c>
      <c r="U232">
        <f t="shared" ca="1" si="18"/>
        <v>847859.99999999988</v>
      </c>
      <c r="V232">
        <f t="shared" ca="1" si="19"/>
        <v>650</v>
      </c>
      <c r="W232" s="8">
        <f t="shared" ca="1" si="20"/>
        <v>2.3900000000000001E-2</v>
      </c>
      <c r="X232">
        <f t="shared" ca="1" si="21"/>
        <v>7800</v>
      </c>
      <c r="Y232">
        <f t="shared" ca="1" si="22"/>
        <v>108.69999999999999</v>
      </c>
    </row>
    <row r="233" spans="1:25" x14ac:dyDescent="0.3">
      <c r="A233" t="s">
        <v>252</v>
      </c>
      <c r="B233" t="s">
        <v>313</v>
      </c>
      <c r="C233" t="s">
        <v>266</v>
      </c>
      <c r="D233">
        <v>56</v>
      </c>
      <c r="E233">
        <v>10.3</v>
      </c>
      <c r="F233">
        <v>10.3</v>
      </c>
      <c r="G233">
        <v>10.9</v>
      </c>
      <c r="H233">
        <v>11.3</v>
      </c>
      <c r="I233">
        <v>10</v>
      </c>
      <c r="J233">
        <v>9</v>
      </c>
      <c r="K233">
        <v>8</v>
      </c>
      <c r="L233">
        <v>7.9</v>
      </c>
      <c r="M233">
        <v>8.4</v>
      </c>
      <c r="N233">
        <v>9.5</v>
      </c>
      <c r="O233">
        <v>10.3</v>
      </c>
      <c r="P233">
        <v>9.8000000000000007</v>
      </c>
      <c r="Q233">
        <v>9.6</v>
      </c>
      <c r="R233" s="3">
        <f t="shared" si="23"/>
        <v>0.28503311258278147</v>
      </c>
      <c r="S233">
        <v>43.072949999999999</v>
      </c>
      <c r="T233">
        <v>-89.386694000000006</v>
      </c>
      <c r="U233">
        <f t="shared" ca="1" si="18"/>
        <v>835084.80000000005</v>
      </c>
      <c r="V233">
        <f t="shared" ca="1" si="19"/>
        <v>659</v>
      </c>
      <c r="W233" s="8">
        <f t="shared" ca="1" si="20"/>
        <v>1.26E-2</v>
      </c>
      <c r="X233">
        <f t="shared" ca="1" si="21"/>
        <v>7908</v>
      </c>
      <c r="Y233">
        <f t="shared" ca="1" si="22"/>
        <v>105.60000000000001</v>
      </c>
    </row>
    <row r="234" spans="1:25" x14ac:dyDescent="0.3">
      <c r="A234" t="s">
        <v>253</v>
      </c>
      <c r="B234" t="s">
        <v>313</v>
      </c>
      <c r="C234" t="s">
        <v>266</v>
      </c>
      <c r="D234">
        <v>62</v>
      </c>
      <c r="E234">
        <v>12.6</v>
      </c>
      <c r="F234">
        <v>12.3</v>
      </c>
      <c r="G234">
        <v>12.7</v>
      </c>
      <c r="H234">
        <v>12.8</v>
      </c>
      <c r="I234">
        <v>11.5</v>
      </c>
      <c r="J234">
        <v>10.4</v>
      </c>
      <c r="K234">
        <v>9.6999999999999993</v>
      </c>
      <c r="L234">
        <v>9.5</v>
      </c>
      <c r="M234">
        <v>10.4</v>
      </c>
      <c r="N234">
        <v>11.4</v>
      </c>
      <c r="O234">
        <v>12.5</v>
      </c>
      <c r="P234">
        <v>12.2</v>
      </c>
      <c r="Q234">
        <v>11.5</v>
      </c>
      <c r="R234" s="3">
        <f t="shared" si="23"/>
        <v>0.3414459161147903</v>
      </c>
      <c r="S234">
        <v>43.041809999999998</v>
      </c>
      <c r="T234">
        <v>-87.906844000000007</v>
      </c>
      <c r="U234">
        <f t="shared" ca="1" si="18"/>
        <v>679500.00000000012</v>
      </c>
      <c r="V234">
        <f t="shared" ca="1" si="19"/>
        <v>625</v>
      </c>
      <c r="W234" s="8">
        <f t="shared" ca="1" si="20"/>
        <v>2.4899999999999999E-2</v>
      </c>
      <c r="X234">
        <f t="shared" ca="1" si="21"/>
        <v>7500</v>
      </c>
      <c r="Y234">
        <f t="shared" ca="1" si="22"/>
        <v>90.600000000000009</v>
      </c>
    </row>
    <row r="235" spans="1:25" x14ac:dyDescent="0.3">
      <c r="A235" t="s">
        <v>254</v>
      </c>
      <c r="B235" t="s">
        <v>314</v>
      </c>
      <c r="C235" t="s">
        <v>262</v>
      </c>
      <c r="D235">
        <v>52</v>
      </c>
      <c r="E235">
        <v>16</v>
      </c>
      <c r="F235">
        <v>14.8</v>
      </c>
      <c r="G235">
        <v>13.4</v>
      </c>
      <c r="H235">
        <v>12.5</v>
      </c>
      <c r="I235">
        <v>11.6</v>
      </c>
      <c r="J235">
        <v>10.9</v>
      </c>
      <c r="K235">
        <v>10.1</v>
      </c>
      <c r="L235">
        <v>10.3</v>
      </c>
      <c r="M235">
        <v>10.9</v>
      </c>
      <c r="N235">
        <v>11.9</v>
      </c>
      <c r="O235">
        <v>14.4</v>
      </c>
      <c r="P235">
        <v>15.9</v>
      </c>
      <c r="Q235">
        <v>12.7</v>
      </c>
      <c r="R235" s="3">
        <f t="shared" si="23"/>
        <v>0.37707505518763795</v>
      </c>
      <c r="S235">
        <v>42.850095000000003</v>
      </c>
      <c r="T235">
        <v>-106.32773400000001</v>
      </c>
      <c r="U235">
        <f t="shared" ca="1" si="18"/>
        <v>649386</v>
      </c>
      <c r="V235">
        <f t="shared" ca="1" si="19"/>
        <v>645</v>
      </c>
      <c r="W235" s="8">
        <f t="shared" ca="1" si="20"/>
        <v>2.1399999999999999E-2</v>
      </c>
      <c r="X235">
        <f t="shared" ca="1" si="21"/>
        <v>7740</v>
      </c>
      <c r="Y235">
        <f t="shared" ca="1" si="22"/>
        <v>83.9</v>
      </c>
    </row>
    <row r="236" spans="1:25" x14ac:dyDescent="0.3">
      <c r="A236" t="s">
        <v>255</v>
      </c>
      <c r="B236" t="s">
        <v>314</v>
      </c>
      <c r="C236" t="s">
        <v>262</v>
      </c>
      <c r="D236">
        <v>45</v>
      </c>
      <c r="E236">
        <v>15.2</v>
      </c>
      <c r="F236">
        <v>14.6</v>
      </c>
      <c r="G236">
        <v>14.4</v>
      </c>
      <c r="H236">
        <v>14.1</v>
      </c>
      <c r="I236">
        <v>12.6</v>
      </c>
      <c r="J236">
        <v>11.4</v>
      </c>
      <c r="K236">
        <v>10.4</v>
      </c>
      <c r="L236">
        <v>10.4</v>
      </c>
      <c r="M236">
        <v>11.2</v>
      </c>
      <c r="N236">
        <v>12.3</v>
      </c>
      <c r="O236">
        <v>13.5</v>
      </c>
      <c r="P236">
        <v>14.7</v>
      </c>
      <c r="Q236">
        <v>12.9</v>
      </c>
      <c r="R236" s="3">
        <f t="shared" si="23"/>
        <v>0.38301324503311263</v>
      </c>
      <c r="S236">
        <v>41.134815000000003</v>
      </c>
      <c r="T236">
        <v>-104.821544</v>
      </c>
      <c r="U236">
        <f t="shared" ca="1" si="18"/>
        <v>943920</v>
      </c>
      <c r="V236">
        <f t="shared" ca="1" si="19"/>
        <v>690</v>
      </c>
      <c r="W236" s="8">
        <f t="shared" ca="1" si="20"/>
        <v>1.03E-2</v>
      </c>
      <c r="X236">
        <f t="shared" ca="1" si="21"/>
        <v>8280</v>
      </c>
      <c r="Y236">
        <f t="shared" ca="1" si="22"/>
        <v>114</v>
      </c>
    </row>
    <row r="237" spans="1:25" x14ac:dyDescent="0.3">
      <c r="A237" t="s">
        <v>256</v>
      </c>
      <c r="B237" t="s">
        <v>314</v>
      </c>
      <c r="C237" t="s">
        <v>262</v>
      </c>
      <c r="D237">
        <v>56</v>
      </c>
      <c r="E237">
        <v>5.9</v>
      </c>
      <c r="F237">
        <v>5.9</v>
      </c>
      <c r="G237">
        <v>7</v>
      </c>
      <c r="H237">
        <v>7.8</v>
      </c>
      <c r="I237">
        <v>7.8</v>
      </c>
      <c r="J237">
        <v>7.8</v>
      </c>
      <c r="K237">
        <v>7.5</v>
      </c>
      <c r="L237">
        <v>7.4</v>
      </c>
      <c r="M237">
        <v>6.9</v>
      </c>
      <c r="N237">
        <v>6</v>
      </c>
      <c r="O237">
        <v>5.6</v>
      </c>
      <c r="P237">
        <v>5.6</v>
      </c>
      <c r="Q237">
        <v>6.8</v>
      </c>
      <c r="R237" s="3">
        <f t="shared" si="23"/>
        <v>0.20189845474613688</v>
      </c>
      <c r="S237">
        <v>42.832915</v>
      </c>
      <c r="T237">
        <v>-108.73017900000001</v>
      </c>
      <c r="U237">
        <f t="shared" ca="1" si="18"/>
        <v>665524.79999999993</v>
      </c>
      <c r="V237">
        <f t="shared" ca="1" si="19"/>
        <v>678</v>
      </c>
      <c r="W237" s="8">
        <f t="shared" ca="1" si="20"/>
        <v>1.78E-2</v>
      </c>
      <c r="X237">
        <f t="shared" ca="1" si="21"/>
        <v>8136</v>
      </c>
      <c r="Y237">
        <f t="shared" ca="1" si="22"/>
        <v>81.8</v>
      </c>
    </row>
    <row r="238" spans="1:25" x14ac:dyDescent="0.3">
      <c r="A238" t="s">
        <v>257</v>
      </c>
      <c r="B238" t="s">
        <v>314</v>
      </c>
      <c r="C238" t="s">
        <v>262</v>
      </c>
      <c r="D238">
        <v>59</v>
      </c>
      <c r="E238">
        <v>7.7</v>
      </c>
      <c r="F238">
        <v>7.8</v>
      </c>
      <c r="G238">
        <v>8.9</v>
      </c>
      <c r="H238">
        <v>9.8000000000000007</v>
      </c>
      <c r="I238">
        <v>9</v>
      </c>
      <c r="J238">
        <v>8.1</v>
      </c>
      <c r="K238">
        <v>7.3</v>
      </c>
      <c r="L238">
        <v>7.4</v>
      </c>
      <c r="M238">
        <v>7.5</v>
      </c>
      <c r="N238">
        <v>7.5</v>
      </c>
      <c r="O238">
        <v>7.6</v>
      </c>
      <c r="P238">
        <v>7.6</v>
      </c>
      <c r="Q238">
        <v>8</v>
      </c>
      <c r="R238" s="3">
        <f t="shared" si="23"/>
        <v>0.23752759381898456</v>
      </c>
      <c r="S238">
        <v>44.797694999999997</v>
      </c>
      <c r="T238">
        <v>-106.955859</v>
      </c>
      <c r="U238">
        <f t="shared" ca="1" si="18"/>
        <v>859377.6</v>
      </c>
      <c r="V238">
        <f t="shared" ca="1" si="19"/>
        <v>698</v>
      </c>
      <c r="W238" s="8">
        <f t="shared" ca="1" si="20"/>
        <v>9.5999999999999992E-3</v>
      </c>
      <c r="X238">
        <f t="shared" ca="1" si="21"/>
        <v>8376</v>
      </c>
      <c r="Y238">
        <f t="shared" ca="1" si="22"/>
        <v>102.6</v>
      </c>
    </row>
    <row r="239" spans="1:25" x14ac:dyDescent="0.3">
      <c r="W239" s="8"/>
    </row>
    <row r="240" spans="1:25" x14ac:dyDescent="0.3">
      <c r="P240" t="s">
        <v>19</v>
      </c>
      <c r="Q240">
        <f>MAX(Q3:Q238)</f>
        <v>15.3</v>
      </c>
    </row>
    <row r="241" spans="14:17" x14ac:dyDescent="0.3">
      <c r="P241" t="s">
        <v>20</v>
      </c>
      <c r="Q241">
        <f>MIN(Q3:Q238)</f>
        <v>4.0999999999999996</v>
      </c>
    </row>
    <row r="242" spans="14:17" x14ac:dyDescent="0.3">
      <c r="N242" s="26" t="s">
        <v>21</v>
      </c>
      <c r="O242" s="26"/>
      <c r="P242" s="26"/>
      <c r="Q242">
        <f>AVERAGE(Q3:Q238)</f>
        <v>9.0131355932203387</v>
      </c>
    </row>
  </sheetData>
  <mergeCells count="1">
    <mergeCell ref="N242:P24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I20" sqref="I20"/>
    </sheetView>
  </sheetViews>
  <sheetFormatPr defaultRowHeight="14.4" x14ac:dyDescent="0.3"/>
  <cols>
    <col min="1" max="1" width="8" bestFit="1" customWidth="1"/>
    <col min="2" max="2" width="10.88671875" bestFit="1" customWidth="1"/>
    <col min="3" max="3" width="36.6640625" bestFit="1" customWidth="1"/>
    <col min="4" max="4" width="23.109375" bestFit="1" customWidth="1"/>
    <col min="5" max="5" width="15.33203125" bestFit="1" customWidth="1"/>
  </cols>
  <sheetData>
    <row r="1" spans="1:5" x14ac:dyDescent="0.3">
      <c r="A1" s="2" t="s">
        <v>22</v>
      </c>
      <c r="B1" s="2" t="s">
        <v>23</v>
      </c>
      <c r="C1" s="2" t="s">
        <v>325</v>
      </c>
      <c r="D1" s="2" t="s">
        <v>24</v>
      </c>
      <c r="E1" s="2" t="s">
        <v>334</v>
      </c>
    </row>
    <row r="2" spans="1:5" x14ac:dyDescent="0.3">
      <c r="A2" s="16" t="s">
        <v>329</v>
      </c>
      <c r="B2" s="16">
        <v>0.5</v>
      </c>
      <c r="C2" s="16">
        <f>B2*365*24</f>
        <v>4380</v>
      </c>
      <c r="D2" s="17">
        <f>B2*1.5</f>
        <v>0.75</v>
      </c>
      <c r="E2" s="14">
        <f>(0.025*1000)*C2/1000000</f>
        <v>0.1095</v>
      </c>
    </row>
    <row r="3" spans="1:5" x14ac:dyDescent="0.3">
      <c r="A3" t="s">
        <v>326</v>
      </c>
      <c r="B3" s="16">
        <v>1</v>
      </c>
      <c r="C3" s="16">
        <f>B3*365*24</f>
        <v>8760</v>
      </c>
      <c r="D3" s="17">
        <f>B3*1.5</f>
        <v>1.5</v>
      </c>
      <c r="E3" s="14">
        <f t="shared" ref="E3:E6" si="0">(0.025*1000)*C3/1000000</f>
        <v>0.219</v>
      </c>
    </row>
    <row r="4" spans="1:5" x14ac:dyDescent="0.3">
      <c r="A4" t="s">
        <v>25</v>
      </c>
      <c r="B4">
        <v>1.5</v>
      </c>
      <c r="C4" s="16">
        <f>B4*365*24</f>
        <v>13140</v>
      </c>
      <c r="D4" s="17">
        <f t="shared" ref="D4:D6" si="1">B4*1.5</f>
        <v>2.25</v>
      </c>
      <c r="E4" s="14">
        <f t="shared" si="0"/>
        <v>0.32850000000000001</v>
      </c>
    </row>
    <row r="5" spans="1:5" x14ac:dyDescent="0.3">
      <c r="A5" t="s">
        <v>26</v>
      </c>
      <c r="B5">
        <v>1.8</v>
      </c>
      <c r="C5" s="16">
        <f>B5*365*24</f>
        <v>15768</v>
      </c>
      <c r="D5" s="17">
        <f t="shared" si="1"/>
        <v>2.7</v>
      </c>
      <c r="E5" s="14">
        <f t="shared" si="0"/>
        <v>0.39419999999999999</v>
      </c>
    </row>
    <row r="6" spans="1:5" x14ac:dyDescent="0.3">
      <c r="A6" t="s">
        <v>27</v>
      </c>
      <c r="B6">
        <v>2</v>
      </c>
      <c r="C6" s="16">
        <f>B6*365*24</f>
        <v>17520</v>
      </c>
      <c r="D6" s="17">
        <f t="shared" si="1"/>
        <v>3</v>
      </c>
      <c r="E6" s="14">
        <f t="shared" si="0"/>
        <v>0.438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31"/>
  <sheetViews>
    <sheetView topLeftCell="A26" workbookViewId="0">
      <selection activeCell="B4" sqref="B4"/>
    </sheetView>
  </sheetViews>
  <sheetFormatPr defaultRowHeight="14.4" x14ac:dyDescent="0.3"/>
  <cols>
    <col min="1" max="1" width="19.33203125" bestFit="1" customWidth="1"/>
    <col min="4" max="4" width="14.88671875" bestFit="1" customWidth="1"/>
    <col min="5" max="5" width="10.109375" bestFit="1" customWidth="1"/>
    <col min="6" max="6" width="18.6640625" bestFit="1" customWidth="1"/>
    <col min="7" max="8" width="22.109375" bestFit="1" customWidth="1"/>
    <col min="9" max="9" width="21.44140625" bestFit="1" customWidth="1"/>
    <col min="10" max="10" width="13.33203125" bestFit="1" customWidth="1"/>
    <col min="11" max="11" width="15.5546875" bestFit="1" customWidth="1"/>
    <col min="12" max="12" width="17.6640625" bestFit="1" customWidth="1"/>
  </cols>
  <sheetData>
    <row r="1" spans="1:12" x14ac:dyDescent="0.3">
      <c r="A1" s="2" t="s">
        <v>320</v>
      </c>
      <c r="G1" s="27" t="s">
        <v>328</v>
      </c>
      <c r="H1" s="27"/>
      <c r="I1" s="27"/>
      <c r="J1" s="27"/>
      <c r="K1" s="27"/>
    </row>
    <row r="3" spans="1:12" x14ac:dyDescent="0.3">
      <c r="A3" s="11" t="s">
        <v>321</v>
      </c>
      <c r="B3">
        <v>25</v>
      </c>
      <c r="C3" t="s">
        <v>342</v>
      </c>
      <c r="G3" s="13" t="s">
        <v>330</v>
      </c>
      <c r="H3" s="10">
        <v>0.24643487858719648</v>
      </c>
    </row>
    <row r="4" spans="1:12" x14ac:dyDescent="0.3">
      <c r="A4" s="11" t="s">
        <v>327</v>
      </c>
      <c r="B4">
        <v>500</v>
      </c>
      <c r="C4" t="s">
        <v>343</v>
      </c>
    </row>
    <row r="6" spans="1:12" x14ac:dyDescent="0.3">
      <c r="A6" s="11" t="s">
        <v>258</v>
      </c>
      <c r="B6" s="11" t="s">
        <v>322</v>
      </c>
      <c r="C6" s="11" t="s">
        <v>323</v>
      </c>
      <c r="D6" s="11" t="s">
        <v>324</v>
      </c>
      <c r="E6" s="11" t="s">
        <v>353</v>
      </c>
    </row>
    <row r="7" spans="1:12" x14ac:dyDescent="0.3">
      <c r="A7" t="s">
        <v>35</v>
      </c>
      <c r="B7">
        <v>-110.96975399999999</v>
      </c>
      <c r="C7">
        <v>32.221553</v>
      </c>
      <c r="D7">
        <v>0.24643487858719648</v>
      </c>
      <c r="E7">
        <v>1018753.2</v>
      </c>
      <c r="G7" s="18" t="s">
        <v>22</v>
      </c>
      <c r="H7" s="18" t="s">
        <v>23</v>
      </c>
      <c r="I7" s="18" t="s">
        <v>344</v>
      </c>
      <c r="J7" s="18" t="s">
        <v>318</v>
      </c>
      <c r="K7" s="18" t="s">
        <v>319</v>
      </c>
      <c r="L7" s="18" t="s">
        <v>331</v>
      </c>
    </row>
    <row r="8" spans="1:12" x14ac:dyDescent="0.3">
      <c r="A8" t="s">
        <v>33</v>
      </c>
      <c r="B8">
        <v>-111.651304</v>
      </c>
      <c r="C8">
        <v>35.1982</v>
      </c>
      <c r="D8">
        <v>0.19002207505518764</v>
      </c>
      <c r="E8">
        <v>860116.8</v>
      </c>
      <c r="G8" s="19" t="s">
        <v>329</v>
      </c>
      <c r="H8" s="19">
        <v>0.5</v>
      </c>
      <c r="I8" s="11">
        <f>365*24*H8*$H$3</f>
        <v>1079.3847682119206</v>
      </c>
      <c r="J8" s="12">
        <v>18</v>
      </c>
      <c r="K8" s="20">
        <v>0.75</v>
      </c>
      <c r="L8" s="21">
        <f>K8*J8</f>
        <v>13.5</v>
      </c>
    </row>
    <row r="9" spans="1:12" x14ac:dyDescent="0.3">
      <c r="G9" s="11" t="s">
        <v>326</v>
      </c>
      <c r="H9" s="19">
        <v>1</v>
      </c>
      <c r="I9" s="11">
        <f t="shared" ref="I9:I12" si="0">365*24*H9*$H$3</f>
        <v>2158.7695364238411</v>
      </c>
      <c r="J9" s="12">
        <v>25</v>
      </c>
      <c r="K9" s="20">
        <v>1.5</v>
      </c>
      <c r="L9" s="21">
        <f t="shared" ref="L9:L12" si="1">K9*J9</f>
        <v>37.5</v>
      </c>
    </row>
    <row r="10" spans="1:12" x14ac:dyDescent="0.3">
      <c r="G10" s="11" t="s">
        <v>25</v>
      </c>
      <c r="H10" s="11">
        <v>1.5</v>
      </c>
      <c r="I10" s="11">
        <f t="shared" si="0"/>
        <v>3238.1543046357619</v>
      </c>
      <c r="J10" s="12">
        <v>171</v>
      </c>
      <c r="K10" s="20">
        <v>2.25</v>
      </c>
      <c r="L10" s="21">
        <f t="shared" si="1"/>
        <v>384.75</v>
      </c>
    </row>
    <row r="11" spans="1:12" x14ac:dyDescent="0.3">
      <c r="G11" s="11" t="s">
        <v>26</v>
      </c>
      <c r="H11" s="11">
        <v>1.8</v>
      </c>
      <c r="I11" s="11">
        <f t="shared" si="0"/>
        <v>3885.7851655629142</v>
      </c>
      <c r="J11" s="12">
        <v>6</v>
      </c>
      <c r="K11" s="20">
        <v>2.7</v>
      </c>
      <c r="L11" s="21">
        <f t="shared" si="1"/>
        <v>16.200000000000003</v>
      </c>
    </row>
    <row r="12" spans="1:12" x14ac:dyDescent="0.3">
      <c r="G12" s="11" t="s">
        <v>27</v>
      </c>
      <c r="H12" s="11">
        <v>2</v>
      </c>
      <c r="I12" s="11">
        <f t="shared" si="0"/>
        <v>4317.5390728476823</v>
      </c>
      <c r="J12" s="12">
        <v>16</v>
      </c>
      <c r="K12" s="20">
        <v>3</v>
      </c>
      <c r="L12" s="21">
        <f t="shared" si="1"/>
        <v>48</v>
      </c>
    </row>
    <row r="15" spans="1:12" x14ac:dyDescent="0.3">
      <c r="G15" s="13" t="s">
        <v>332</v>
      </c>
      <c r="H15" s="22">
        <f>SUMPRODUCT(J8:J12,K8:K12)</f>
        <v>499.95</v>
      </c>
      <c r="I15" s="10" t="s">
        <v>333</v>
      </c>
      <c r="J15" s="22">
        <f>$B$4</f>
        <v>500</v>
      </c>
    </row>
    <row r="17" spans="5:13" x14ac:dyDescent="0.3">
      <c r="G17" s="15" t="s">
        <v>350</v>
      </c>
      <c r="H17" s="10">
        <f>SUMPRODUCT(I8:I12,J8:J12)</f>
        <v>719517.88649006642</v>
      </c>
      <c r="I17" s="2" t="s">
        <v>351</v>
      </c>
    </row>
    <row r="21" spans="5:13" x14ac:dyDescent="0.3">
      <c r="G21" s="27" t="s">
        <v>335</v>
      </c>
      <c r="H21" s="27"/>
      <c r="I21" s="27"/>
    </row>
    <row r="23" spans="5:13" x14ac:dyDescent="0.3">
      <c r="G23" s="11" t="s">
        <v>337</v>
      </c>
      <c r="H23" s="25">
        <f>0.025*1000</f>
        <v>25</v>
      </c>
      <c r="K23" s="15" t="s">
        <v>338</v>
      </c>
      <c r="L23" s="14">
        <f>SUMPRODUCT(allonoroff,allprices)</f>
        <v>1018753.2</v>
      </c>
    </row>
    <row r="26" spans="5:13" x14ac:dyDescent="0.3">
      <c r="G26" t="s">
        <v>339</v>
      </c>
      <c r="H26">
        <f>SUM(allsupplies)</f>
        <v>8028</v>
      </c>
      <c r="I26" t="s">
        <v>333</v>
      </c>
      <c r="J26">
        <f>H17</f>
        <v>719517.88649006642</v>
      </c>
      <c r="K26" s="2" t="s">
        <v>351</v>
      </c>
    </row>
    <row r="29" spans="5:13" x14ac:dyDescent="0.3">
      <c r="F29" s="23" t="s">
        <v>340</v>
      </c>
      <c r="G29" s="23" t="s">
        <v>341</v>
      </c>
      <c r="H29" s="23" t="s">
        <v>349</v>
      </c>
      <c r="I29" s="23" t="s">
        <v>348</v>
      </c>
      <c r="J29" s="23" t="s">
        <v>336</v>
      </c>
      <c r="K29" s="23" t="s">
        <v>345</v>
      </c>
    </row>
    <row r="30" spans="5:13" x14ac:dyDescent="0.3">
      <c r="E30" t="s">
        <v>272</v>
      </c>
      <c r="F30" t="s">
        <v>35</v>
      </c>
      <c r="G30" s="9">
        <v>1</v>
      </c>
      <c r="H30">
        <v>8028</v>
      </c>
      <c r="I30">
        <v>1018753.2</v>
      </c>
      <c r="J30" s="24">
        <f>PRODUCT(G30,H30)</f>
        <v>8028</v>
      </c>
      <c r="K30">
        <v>0</v>
      </c>
      <c r="L30">
        <v>32.221553</v>
      </c>
      <c r="M30">
        <v>-110.96975399999999</v>
      </c>
    </row>
    <row r="31" spans="5:13" x14ac:dyDescent="0.3">
      <c r="E31" t="s">
        <v>273</v>
      </c>
      <c r="G31" s="9"/>
      <c r="J31" s="24"/>
      <c r="L31">
        <v>34.748654999999999</v>
      </c>
      <c r="M31">
        <v>-92.274494000000004</v>
      </c>
    </row>
    <row r="32" spans="5:13" x14ac:dyDescent="0.3">
      <c r="E32" t="s">
        <v>89</v>
      </c>
      <c r="G32" s="9"/>
      <c r="J32" s="24"/>
      <c r="L32">
        <v>37.005105</v>
      </c>
      <c r="M32">
        <v>-89.176269000000005</v>
      </c>
    </row>
    <row r="33" spans="5:13" x14ac:dyDescent="0.3">
      <c r="E33" t="s">
        <v>267</v>
      </c>
      <c r="G33" s="9"/>
      <c r="J33" s="24"/>
      <c r="L33">
        <v>37.085709999999999</v>
      </c>
      <c r="M33">
        <v>-88.595833999999996</v>
      </c>
    </row>
    <row r="34" spans="5:13" x14ac:dyDescent="0.3">
      <c r="E34" t="s">
        <v>283</v>
      </c>
      <c r="G34" s="9"/>
      <c r="J34" s="24"/>
      <c r="L34">
        <v>32.514614999999999</v>
      </c>
      <c r="M34">
        <v>-93.747274000000004</v>
      </c>
    </row>
    <row r="35" spans="5:13" x14ac:dyDescent="0.3">
      <c r="E35" t="s">
        <v>288</v>
      </c>
      <c r="G35" s="9"/>
      <c r="J35" s="24"/>
      <c r="L35">
        <v>32.298690000000001</v>
      </c>
      <c r="M35">
        <v>-90.180488999999994</v>
      </c>
    </row>
    <row r="36" spans="5:13" x14ac:dyDescent="0.3">
      <c r="E36" t="s">
        <v>288</v>
      </c>
      <c r="G36" s="9"/>
      <c r="J36" s="24"/>
      <c r="L36">
        <v>32.365029999999997</v>
      </c>
      <c r="M36">
        <v>-88.703068999999999</v>
      </c>
    </row>
    <row r="37" spans="5:13" x14ac:dyDescent="0.3">
      <c r="E37" t="s">
        <v>288</v>
      </c>
      <c r="G37" s="9"/>
      <c r="J37" s="24"/>
      <c r="L37">
        <v>34.25741</v>
      </c>
      <c r="M37">
        <v>-88.707834000000005</v>
      </c>
    </row>
    <row r="38" spans="5:13" x14ac:dyDescent="0.3">
      <c r="E38" t="s">
        <v>289</v>
      </c>
      <c r="G38" s="9"/>
      <c r="J38" s="24"/>
      <c r="L38">
        <v>38.952173999999999</v>
      </c>
      <c r="M38">
        <v>-92.334157000000005</v>
      </c>
    </row>
    <row r="39" spans="5:13" x14ac:dyDescent="0.3">
      <c r="E39" t="s">
        <v>289</v>
      </c>
      <c r="G39" s="9"/>
      <c r="J39" s="24"/>
      <c r="L39">
        <v>38.627740000000003</v>
      </c>
      <c r="M39">
        <v>-90.199513999999994</v>
      </c>
    </row>
    <row r="40" spans="5:13" x14ac:dyDescent="0.3">
      <c r="E40" t="s">
        <v>289</v>
      </c>
      <c r="G40" s="9"/>
      <c r="L40">
        <v>37.208975000000002</v>
      </c>
      <c r="M40">
        <v>-93.291563999999994</v>
      </c>
    </row>
    <row r="41" spans="5:13" x14ac:dyDescent="0.3">
      <c r="E41" t="s">
        <v>302</v>
      </c>
      <c r="G41" s="9"/>
      <c r="L41">
        <v>36.149745000000003</v>
      </c>
      <c r="M41">
        <v>-95.993334000000004</v>
      </c>
    </row>
    <row r="42" spans="5:13" x14ac:dyDescent="0.3">
      <c r="E42" t="s">
        <v>215</v>
      </c>
      <c r="G42" s="9"/>
      <c r="L42">
        <v>35.149679999999996</v>
      </c>
      <c r="M42">
        <v>-90.048929000000001</v>
      </c>
    </row>
    <row r="43" spans="5:13" x14ac:dyDescent="0.3">
      <c r="E43" t="s">
        <v>307</v>
      </c>
      <c r="G43" s="9"/>
      <c r="L43">
        <v>32.843921999999999</v>
      </c>
      <c r="M43">
        <v>-96.849693000000002</v>
      </c>
    </row>
    <row r="44" spans="5:13" x14ac:dyDescent="0.3">
      <c r="G44" s="9">
        <v>0</v>
      </c>
    </row>
    <row r="45" spans="5:13" x14ac:dyDescent="0.3">
      <c r="G45" s="9">
        <v>0</v>
      </c>
    </row>
    <row r="46" spans="5:13" x14ac:dyDescent="0.3">
      <c r="G46" s="9"/>
    </row>
    <row r="47" spans="5:13" x14ac:dyDescent="0.3">
      <c r="G47" s="9"/>
    </row>
    <row r="48" spans="5:13" x14ac:dyDescent="0.3">
      <c r="G48" s="9"/>
    </row>
    <row r="49" spans="7:7" x14ac:dyDescent="0.3">
      <c r="G49" s="9"/>
    </row>
    <row r="50" spans="7:7" x14ac:dyDescent="0.3">
      <c r="G50" s="9"/>
    </row>
    <row r="51" spans="7:7" x14ac:dyDescent="0.3">
      <c r="G51" s="9"/>
    </row>
    <row r="52" spans="7:7" x14ac:dyDescent="0.3">
      <c r="G52" s="9"/>
    </row>
    <row r="53" spans="7:7" x14ac:dyDescent="0.3">
      <c r="G53" s="9"/>
    </row>
    <row r="54" spans="7:7" x14ac:dyDescent="0.3">
      <c r="G54" s="9"/>
    </row>
    <row r="55" spans="7:7" x14ac:dyDescent="0.3">
      <c r="G55" s="9"/>
    </row>
    <row r="56" spans="7:7" x14ac:dyDescent="0.3">
      <c r="G56" s="9"/>
    </row>
    <row r="57" spans="7:7" x14ac:dyDescent="0.3">
      <c r="G57" s="9"/>
    </row>
    <row r="58" spans="7:7" x14ac:dyDescent="0.3">
      <c r="G58" s="9"/>
    </row>
    <row r="59" spans="7:7" x14ac:dyDescent="0.3">
      <c r="G59" s="9"/>
    </row>
    <row r="60" spans="7:7" x14ac:dyDescent="0.3">
      <c r="G60" s="9"/>
    </row>
    <row r="61" spans="7:7" x14ac:dyDescent="0.3">
      <c r="G61" s="9"/>
    </row>
    <row r="62" spans="7:7" x14ac:dyDescent="0.3">
      <c r="G62" s="9"/>
    </row>
    <row r="63" spans="7:7" x14ac:dyDescent="0.3">
      <c r="G63" s="9"/>
    </row>
    <row r="64" spans="7:7" x14ac:dyDescent="0.3">
      <c r="G64" s="9"/>
    </row>
    <row r="65" spans="7:7" x14ac:dyDescent="0.3">
      <c r="G65" s="9"/>
    </row>
    <row r="66" spans="7:7" x14ac:dyDescent="0.3">
      <c r="G66" s="9"/>
    </row>
    <row r="67" spans="7:7" x14ac:dyDescent="0.3">
      <c r="G67" s="9"/>
    </row>
    <row r="68" spans="7:7" x14ac:dyDescent="0.3">
      <c r="G68" s="9"/>
    </row>
    <row r="69" spans="7:7" x14ac:dyDescent="0.3">
      <c r="G69" s="9"/>
    </row>
    <row r="70" spans="7:7" x14ac:dyDescent="0.3">
      <c r="G70" s="9"/>
    </row>
    <row r="71" spans="7:7" x14ac:dyDescent="0.3">
      <c r="G71" s="9"/>
    </row>
    <row r="72" spans="7:7" x14ac:dyDescent="0.3">
      <c r="G72" s="9"/>
    </row>
    <row r="73" spans="7:7" x14ac:dyDescent="0.3">
      <c r="G73" s="9"/>
    </row>
    <row r="74" spans="7:7" x14ac:dyDescent="0.3">
      <c r="G74" s="9"/>
    </row>
    <row r="75" spans="7:7" x14ac:dyDescent="0.3">
      <c r="G75" s="9"/>
    </row>
    <row r="76" spans="7:7" x14ac:dyDescent="0.3">
      <c r="G76" s="9"/>
    </row>
    <row r="77" spans="7:7" x14ac:dyDescent="0.3">
      <c r="G77" s="9"/>
    </row>
    <row r="78" spans="7:7" x14ac:dyDescent="0.3">
      <c r="G78" s="9"/>
    </row>
    <row r="79" spans="7:7" x14ac:dyDescent="0.3">
      <c r="G79" s="9"/>
    </row>
    <row r="80" spans="7:7" x14ac:dyDescent="0.3">
      <c r="G80" s="9"/>
    </row>
    <row r="81" spans="7:7" x14ac:dyDescent="0.3">
      <c r="G81" s="9"/>
    </row>
    <row r="82" spans="7:7" x14ac:dyDescent="0.3">
      <c r="G82" s="9"/>
    </row>
    <row r="83" spans="7:7" x14ac:dyDescent="0.3">
      <c r="G83" s="9"/>
    </row>
    <row r="84" spans="7:7" x14ac:dyDescent="0.3">
      <c r="G84" s="9"/>
    </row>
    <row r="85" spans="7:7" x14ac:dyDescent="0.3">
      <c r="G85" s="9"/>
    </row>
    <row r="86" spans="7:7" x14ac:dyDescent="0.3">
      <c r="G86" s="9"/>
    </row>
    <row r="87" spans="7:7" x14ac:dyDescent="0.3">
      <c r="G87" s="9"/>
    </row>
    <row r="88" spans="7:7" x14ac:dyDescent="0.3">
      <c r="G88" s="9"/>
    </row>
    <row r="89" spans="7:7" x14ac:dyDescent="0.3">
      <c r="G89" s="9"/>
    </row>
    <row r="90" spans="7:7" x14ac:dyDescent="0.3">
      <c r="G90" s="9"/>
    </row>
    <row r="91" spans="7:7" x14ac:dyDescent="0.3">
      <c r="G91" s="9"/>
    </row>
    <row r="92" spans="7:7" x14ac:dyDescent="0.3">
      <c r="G92" s="9"/>
    </row>
    <row r="93" spans="7:7" x14ac:dyDescent="0.3">
      <c r="G93" s="9"/>
    </row>
    <row r="94" spans="7:7" x14ac:dyDescent="0.3">
      <c r="G94" s="9"/>
    </row>
    <row r="95" spans="7:7" x14ac:dyDescent="0.3">
      <c r="G95" s="9"/>
    </row>
    <row r="96" spans="7:7" x14ac:dyDescent="0.3">
      <c r="G96" s="9"/>
    </row>
    <row r="97" spans="7:7" x14ac:dyDescent="0.3">
      <c r="G97" s="9"/>
    </row>
    <row r="98" spans="7:7" x14ac:dyDescent="0.3">
      <c r="G98" s="9"/>
    </row>
    <row r="99" spans="7:7" x14ac:dyDescent="0.3">
      <c r="G99" s="9"/>
    </row>
    <row r="100" spans="7:7" x14ac:dyDescent="0.3">
      <c r="G100" s="9"/>
    </row>
    <row r="101" spans="7:7" x14ac:dyDescent="0.3">
      <c r="G101" s="9"/>
    </row>
    <row r="102" spans="7:7" x14ac:dyDescent="0.3">
      <c r="G102" s="9"/>
    </row>
    <row r="103" spans="7:7" x14ac:dyDescent="0.3">
      <c r="G103" s="9"/>
    </row>
    <row r="104" spans="7:7" x14ac:dyDescent="0.3">
      <c r="G104" s="9"/>
    </row>
    <row r="105" spans="7:7" x14ac:dyDescent="0.3">
      <c r="G105" s="9"/>
    </row>
    <row r="106" spans="7:7" x14ac:dyDescent="0.3">
      <c r="G106" s="9"/>
    </row>
    <row r="107" spans="7:7" x14ac:dyDescent="0.3">
      <c r="G107" s="9"/>
    </row>
    <row r="108" spans="7:7" x14ac:dyDescent="0.3">
      <c r="G108" s="9"/>
    </row>
    <row r="109" spans="7:7" x14ac:dyDescent="0.3">
      <c r="G109" s="9"/>
    </row>
    <row r="110" spans="7:7" x14ac:dyDescent="0.3">
      <c r="G110" s="9"/>
    </row>
    <row r="111" spans="7:7" x14ac:dyDescent="0.3">
      <c r="G111" s="9"/>
    </row>
    <row r="112" spans="7:7" x14ac:dyDescent="0.3">
      <c r="G112" s="9"/>
    </row>
    <row r="113" spans="7:7" x14ac:dyDescent="0.3">
      <c r="G113" s="9"/>
    </row>
    <row r="114" spans="7:7" x14ac:dyDescent="0.3">
      <c r="G114" s="9"/>
    </row>
    <row r="115" spans="7:7" x14ac:dyDescent="0.3">
      <c r="G115" s="9"/>
    </row>
    <row r="116" spans="7:7" x14ac:dyDescent="0.3">
      <c r="G116" s="9"/>
    </row>
    <row r="117" spans="7:7" x14ac:dyDescent="0.3">
      <c r="G117" s="9"/>
    </row>
    <row r="118" spans="7:7" x14ac:dyDescent="0.3">
      <c r="G118" s="9"/>
    </row>
    <row r="119" spans="7:7" x14ac:dyDescent="0.3">
      <c r="G119" s="9"/>
    </row>
    <row r="120" spans="7:7" x14ac:dyDescent="0.3">
      <c r="G120" s="9"/>
    </row>
    <row r="121" spans="7:7" x14ac:dyDescent="0.3">
      <c r="G121" s="9"/>
    </row>
    <row r="122" spans="7:7" x14ac:dyDescent="0.3">
      <c r="G122" s="9"/>
    </row>
    <row r="123" spans="7:7" x14ac:dyDescent="0.3">
      <c r="G123" s="9"/>
    </row>
    <row r="124" spans="7:7" x14ac:dyDescent="0.3">
      <c r="G124" s="9"/>
    </row>
    <row r="125" spans="7:7" x14ac:dyDescent="0.3">
      <c r="G125" s="9"/>
    </row>
    <row r="126" spans="7:7" x14ac:dyDescent="0.3">
      <c r="G126" s="9"/>
    </row>
    <row r="127" spans="7:7" x14ac:dyDescent="0.3">
      <c r="G127" s="9"/>
    </row>
    <row r="128" spans="7:7" x14ac:dyDescent="0.3">
      <c r="G128" s="9"/>
    </row>
    <row r="129" spans="7:7" x14ac:dyDescent="0.3">
      <c r="G129" s="9"/>
    </row>
    <row r="130" spans="7:7" x14ac:dyDescent="0.3">
      <c r="G130" s="9"/>
    </row>
    <row r="131" spans="7:7" x14ac:dyDescent="0.3">
      <c r="G131" s="9"/>
    </row>
    <row r="132" spans="7:7" x14ac:dyDescent="0.3">
      <c r="G132" s="9"/>
    </row>
    <row r="133" spans="7:7" x14ac:dyDescent="0.3">
      <c r="G133" s="9"/>
    </row>
    <row r="134" spans="7:7" x14ac:dyDescent="0.3">
      <c r="G134" s="9"/>
    </row>
    <row r="135" spans="7:7" x14ac:dyDescent="0.3">
      <c r="G135" s="9"/>
    </row>
    <row r="136" spans="7:7" x14ac:dyDescent="0.3">
      <c r="G136" s="9"/>
    </row>
    <row r="137" spans="7:7" x14ac:dyDescent="0.3">
      <c r="G137" s="9"/>
    </row>
    <row r="138" spans="7:7" x14ac:dyDescent="0.3">
      <c r="G138" s="9"/>
    </row>
    <row r="139" spans="7:7" x14ac:dyDescent="0.3">
      <c r="G139" s="9"/>
    </row>
    <row r="140" spans="7:7" x14ac:dyDescent="0.3">
      <c r="G140" s="9"/>
    </row>
    <row r="141" spans="7:7" x14ac:dyDescent="0.3">
      <c r="G141" s="9"/>
    </row>
    <row r="142" spans="7:7" x14ac:dyDescent="0.3">
      <c r="G142" s="9"/>
    </row>
    <row r="143" spans="7:7" x14ac:dyDescent="0.3">
      <c r="G143" s="9"/>
    </row>
    <row r="144" spans="7:7" x14ac:dyDescent="0.3">
      <c r="G144" s="9"/>
    </row>
    <row r="145" spans="7:7" x14ac:dyDescent="0.3">
      <c r="G145" s="9"/>
    </row>
    <row r="146" spans="7:7" x14ac:dyDescent="0.3">
      <c r="G146" s="9"/>
    </row>
    <row r="147" spans="7:7" x14ac:dyDescent="0.3">
      <c r="G147" s="9"/>
    </row>
    <row r="148" spans="7:7" x14ac:dyDescent="0.3">
      <c r="G148" s="9"/>
    </row>
    <row r="149" spans="7:7" x14ac:dyDescent="0.3">
      <c r="G149" s="9"/>
    </row>
    <row r="150" spans="7:7" x14ac:dyDescent="0.3">
      <c r="G150" s="9"/>
    </row>
    <row r="151" spans="7:7" x14ac:dyDescent="0.3">
      <c r="G151" s="9"/>
    </row>
    <row r="152" spans="7:7" x14ac:dyDescent="0.3">
      <c r="G152" s="9"/>
    </row>
    <row r="153" spans="7:7" x14ac:dyDescent="0.3">
      <c r="G153" s="9"/>
    </row>
    <row r="154" spans="7:7" x14ac:dyDescent="0.3">
      <c r="G154" s="9"/>
    </row>
    <row r="155" spans="7:7" x14ac:dyDescent="0.3">
      <c r="G155" s="9"/>
    </row>
    <row r="156" spans="7:7" x14ac:dyDescent="0.3">
      <c r="G156" s="9"/>
    </row>
    <row r="157" spans="7:7" x14ac:dyDescent="0.3">
      <c r="G157" s="9"/>
    </row>
    <row r="158" spans="7:7" x14ac:dyDescent="0.3">
      <c r="G158" s="9"/>
    </row>
    <row r="159" spans="7:7" x14ac:dyDescent="0.3">
      <c r="G159" s="9"/>
    </row>
    <row r="160" spans="7:7" x14ac:dyDescent="0.3">
      <c r="G160" s="9"/>
    </row>
    <row r="161" spans="7:7" x14ac:dyDescent="0.3">
      <c r="G161" s="9"/>
    </row>
    <row r="162" spans="7:7" x14ac:dyDescent="0.3">
      <c r="G162" s="9"/>
    </row>
    <row r="163" spans="7:7" x14ac:dyDescent="0.3">
      <c r="G163" s="9"/>
    </row>
    <row r="164" spans="7:7" x14ac:dyDescent="0.3">
      <c r="G164" s="9"/>
    </row>
    <row r="165" spans="7:7" x14ac:dyDescent="0.3">
      <c r="G165" s="9"/>
    </row>
    <row r="166" spans="7:7" x14ac:dyDescent="0.3">
      <c r="G166" s="9"/>
    </row>
    <row r="167" spans="7:7" x14ac:dyDescent="0.3">
      <c r="G167" s="9"/>
    </row>
    <row r="168" spans="7:7" x14ac:dyDescent="0.3">
      <c r="G168" s="9"/>
    </row>
    <row r="169" spans="7:7" x14ac:dyDescent="0.3">
      <c r="G169" s="9"/>
    </row>
    <row r="170" spans="7:7" x14ac:dyDescent="0.3">
      <c r="G170" s="9"/>
    </row>
    <row r="171" spans="7:7" x14ac:dyDescent="0.3">
      <c r="G171" s="9"/>
    </row>
    <row r="172" spans="7:7" x14ac:dyDescent="0.3">
      <c r="G172" s="9"/>
    </row>
    <row r="173" spans="7:7" x14ac:dyDescent="0.3">
      <c r="G173" s="9"/>
    </row>
    <row r="174" spans="7:7" x14ac:dyDescent="0.3">
      <c r="G174" s="9"/>
    </row>
    <row r="175" spans="7:7" x14ac:dyDescent="0.3">
      <c r="G175" s="9"/>
    </row>
    <row r="176" spans="7:7" x14ac:dyDescent="0.3">
      <c r="G176" s="9"/>
    </row>
    <row r="177" spans="7:7" x14ac:dyDescent="0.3">
      <c r="G177" s="9"/>
    </row>
    <row r="178" spans="7:7" x14ac:dyDescent="0.3">
      <c r="G178" s="9"/>
    </row>
    <row r="179" spans="7:7" x14ac:dyDescent="0.3">
      <c r="G179" s="9"/>
    </row>
    <row r="180" spans="7:7" x14ac:dyDescent="0.3">
      <c r="G180" s="9"/>
    </row>
    <row r="181" spans="7:7" x14ac:dyDescent="0.3">
      <c r="G181" s="9"/>
    </row>
    <row r="182" spans="7:7" x14ac:dyDescent="0.3">
      <c r="G182" s="9"/>
    </row>
    <row r="183" spans="7:7" x14ac:dyDescent="0.3">
      <c r="G183" s="9"/>
    </row>
    <row r="184" spans="7:7" x14ac:dyDescent="0.3">
      <c r="G184" s="9"/>
    </row>
    <row r="185" spans="7:7" x14ac:dyDescent="0.3">
      <c r="G185" s="9"/>
    </row>
    <row r="186" spans="7:7" x14ac:dyDescent="0.3">
      <c r="G186" s="9"/>
    </row>
    <row r="187" spans="7:7" x14ac:dyDescent="0.3">
      <c r="G187" s="9"/>
    </row>
    <row r="188" spans="7:7" x14ac:dyDescent="0.3">
      <c r="G188" s="9"/>
    </row>
    <row r="189" spans="7:7" x14ac:dyDescent="0.3">
      <c r="G189" s="9"/>
    </row>
    <row r="190" spans="7:7" x14ac:dyDescent="0.3">
      <c r="G190" s="9"/>
    </row>
    <row r="191" spans="7:7" x14ac:dyDescent="0.3">
      <c r="G191" s="9"/>
    </row>
    <row r="192" spans="7:7" x14ac:dyDescent="0.3">
      <c r="G192" s="9"/>
    </row>
    <row r="193" spans="7:7" x14ac:dyDescent="0.3">
      <c r="G193" s="9"/>
    </row>
    <row r="194" spans="7:7" x14ac:dyDescent="0.3">
      <c r="G194" s="9"/>
    </row>
    <row r="195" spans="7:7" x14ac:dyDescent="0.3">
      <c r="G195" s="9"/>
    </row>
    <row r="196" spans="7:7" x14ac:dyDescent="0.3">
      <c r="G196" s="9"/>
    </row>
    <row r="197" spans="7:7" x14ac:dyDescent="0.3">
      <c r="G197" s="9"/>
    </row>
    <row r="198" spans="7:7" x14ac:dyDescent="0.3">
      <c r="G198" s="9"/>
    </row>
    <row r="199" spans="7:7" x14ac:dyDescent="0.3">
      <c r="G199" s="9"/>
    </row>
    <row r="200" spans="7:7" x14ac:dyDescent="0.3">
      <c r="G200" s="9"/>
    </row>
    <row r="201" spans="7:7" x14ac:dyDescent="0.3">
      <c r="G201" s="9"/>
    </row>
    <row r="202" spans="7:7" x14ac:dyDescent="0.3">
      <c r="G202" s="9"/>
    </row>
    <row r="203" spans="7:7" x14ac:dyDescent="0.3">
      <c r="G203" s="9"/>
    </row>
    <row r="204" spans="7:7" x14ac:dyDescent="0.3">
      <c r="G204" s="9"/>
    </row>
    <row r="205" spans="7:7" x14ac:dyDescent="0.3">
      <c r="G205" s="9"/>
    </row>
    <row r="206" spans="7:7" x14ac:dyDescent="0.3">
      <c r="G206" s="9"/>
    </row>
    <row r="207" spans="7:7" x14ac:dyDescent="0.3">
      <c r="G207" s="9"/>
    </row>
    <row r="208" spans="7:7" x14ac:dyDescent="0.3">
      <c r="G208" s="9"/>
    </row>
    <row r="209" spans="7:7" x14ac:dyDescent="0.3">
      <c r="G209" s="9"/>
    </row>
    <row r="210" spans="7:7" x14ac:dyDescent="0.3">
      <c r="G210" s="9"/>
    </row>
    <row r="211" spans="7:7" x14ac:dyDescent="0.3">
      <c r="G211" s="9"/>
    </row>
    <row r="212" spans="7:7" x14ac:dyDescent="0.3">
      <c r="G212" s="9"/>
    </row>
    <row r="213" spans="7:7" x14ac:dyDescent="0.3">
      <c r="G213" s="9"/>
    </row>
    <row r="214" spans="7:7" x14ac:dyDescent="0.3">
      <c r="G214" s="9"/>
    </row>
    <row r="215" spans="7:7" x14ac:dyDescent="0.3">
      <c r="G215" s="9"/>
    </row>
    <row r="216" spans="7:7" x14ac:dyDescent="0.3">
      <c r="G216" s="9"/>
    </row>
    <row r="217" spans="7:7" x14ac:dyDescent="0.3">
      <c r="G217" s="9"/>
    </row>
    <row r="218" spans="7:7" x14ac:dyDescent="0.3">
      <c r="G218" s="9"/>
    </row>
    <row r="219" spans="7:7" x14ac:dyDescent="0.3">
      <c r="G219" s="9"/>
    </row>
    <row r="220" spans="7:7" x14ac:dyDescent="0.3">
      <c r="G220" s="9"/>
    </row>
    <row r="221" spans="7:7" x14ac:dyDescent="0.3">
      <c r="G221" s="9"/>
    </row>
    <row r="222" spans="7:7" x14ac:dyDescent="0.3">
      <c r="G222" s="9"/>
    </row>
    <row r="223" spans="7:7" x14ac:dyDescent="0.3">
      <c r="G223" s="9"/>
    </row>
    <row r="224" spans="7:7" x14ac:dyDescent="0.3">
      <c r="G224" s="9"/>
    </row>
    <row r="225" spans="7:7" x14ac:dyDescent="0.3">
      <c r="G225" s="9"/>
    </row>
    <row r="226" spans="7:7" x14ac:dyDescent="0.3">
      <c r="G226" s="9"/>
    </row>
    <row r="227" spans="7:7" x14ac:dyDescent="0.3">
      <c r="G227" s="9"/>
    </row>
    <row r="228" spans="7:7" x14ac:dyDescent="0.3">
      <c r="G228" s="9"/>
    </row>
    <row r="229" spans="7:7" x14ac:dyDescent="0.3">
      <c r="G229" s="9"/>
    </row>
    <row r="230" spans="7:7" x14ac:dyDescent="0.3">
      <c r="G230" s="9"/>
    </row>
    <row r="231" spans="7:7" x14ac:dyDescent="0.3">
      <c r="G231" s="9"/>
    </row>
  </sheetData>
  <mergeCells count="2">
    <mergeCell ref="G1:K1"/>
    <mergeCell ref="G21:I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Welcome</vt:lpstr>
      <vt:lpstr>charts</vt:lpstr>
      <vt:lpstr>Average Daily Wind</vt:lpstr>
      <vt:lpstr>Wind Turbine Specs</vt:lpstr>
      <vt:lpstr>Result Worksheet</vt:lpstr>
      <vt:lpstr>charts!allonoroff</vt:lpstr>
      <vt:lpstr>allonoroff</vt:lpstr>
      <vt:lpstr>charts!allprices</vt:lpstr>
      <vt:lpstr>allprices</vt:lpstr>
      <vt:lpstr>charts!allsupplies</vt:lpstr>
      <vt:lpstr>allsupplies</vt:lpstr>
      <vt:lpstr>initialinvestment</vt:lpstr>
      <vt:lpstr>maxoutput</vt:lpstr>
      <vt:lpstr>maxprofit</vt:lpstr>
      <vt:lpstr>totaloutput</vt:lpstr>
      <vt:lpstr>totalsupply</vt:lpstr>
      <vt:lpstr>turbinecost</vt:lpstr>
      <vt:lpstr>turbineqty</vt:lpstr>
      <vt:lpstr>'Average Daily Wind'!Wind_Data</vt:lpstr>
      <vt:lpstr>'Average Daily Wind'!Wind_Data_1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Patriciogm86</dc:creator>
  <cp:lastModifiedBy>NEK</cp:lastModifiedBy>
  <dcterms:created xsi:type="dcterms:W3CDTF">2009-11-17T19:26:01Z</dcterms:created>
  <dcterms:modified xsi:type="dcterms:W3CDTF">2011-09-01T18:42:48Z</dcterms:modified>
</cp:coreProperties>
</file>